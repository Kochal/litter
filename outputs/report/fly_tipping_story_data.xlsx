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1 Trend" sheetId="2" state="visible" r:id="rId4"/>
    <sheet name="2 Access tests" sheetId="3" state="visible" r:id="rId5"/>
    <sheet name="3 Renting and no car" sheetId="4" state="visible" r:id="rId6"/>
    <sheet name="4a Type of land" sheetId="5" state="visible" r:id="rId7"/>
    <sheet name="4b Street or out of way" sheetId="6" state="visible" r:id="rId8"/>
    <sheet name="5a Predicted vs actual" sheetId="7" state="visible" r:id="rId9"/>
    <sheet name="5b Census shares" sheetId="8" state="visible" r:id="rId10"/>
    <sheet name="5c Other factors by year" sheetId="9" state="visible" r:id="rId11"/>
    <sheet name="5d Same council over tim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<sst xmlns="http://schemas.openxmlformats.org/spreadsheetml/2006/main" count="254" uniqueCount="155">
  <si>
    <t xml:space="preserve">What drives fly-tipping in England and Wales: data behind the charts</t>
  </si>
  <si>
    <t xml:space="preserve">One sheet per chart in the report (docs/story.md). Derived columns (percentage changes, indexes, rates, totals) are formulas. A rate ratio of 1.20 means 20% more fly-tipping per resident.</t>
  </si>
  <si>
    <t xml:space="preserve">The map of drive-time changes (figure 2) is in drive_time_change_lsoa.parquet and recycling_centres.parquet (GeoParquet, British National Grid; centres for England only, as on the map), which open in QGIS, ArcGIS, R (sf) or Python (geopandas).</t>
  </si>
  <si>
    <t xml:space="preserve">Sources: Defra and Welsh Government fly-tipping statistics; FixMyStreet (mySociety); ONS Census 2011 and 2021, population estimates and consumer prices index; council revenue outturn (MHCLG); Environment Agency and Natural Resources Wales site records. Open Government Licence v3.0. Code: github.com/kochal/litter.</t>
  </si>
  <si>
    <t xml:space="preserve">Sheet</t>
  </si>
  <si>
    <t xml:space="preserve">Chart</t>
  </si>
  <si>
    <t xml:space="preserve">Rows</t>
  </si>
  <si>
    <t xml:space="preserve">1 Trend</t>
  </si>
  <si>
    <t xml:space="preserve">Figure 1. Recorded fly-tipping per 1,000 people by size of load, England</t>
  </si>
  <si>
    <t xml:space="preserve">2 Access tests</t>
  </si>
  <si>
    <t xml:space="preserve">Figure 3. Every test of access to recycling centres</t>
  </si>
  <si>
    <t xml:space="preserve">3 Renting and no car</t>
  </si>
  <si>
    <t xml:space="preserve">Figure 4. Private renting and car ownership by kind of fly-tipping</t>
  </si>
  <si>
    <t xml:space="preserve">4a Type of land</t>
  </si>
  <si>
    <t xml:space="preserve">Figure 5. Recorded fly-tipping by type of land</t>
  </si>
  <si>
    <t xml:space="preserve">4b Street or out of way</t>
  </si>
  <si>
    <t xml:space="preserve">Figure 6. Where FixMyStreet reports say the waste was</t>
  </si>
  <si>
    <t xml:space="preserve">5a Predicted vs actual</t>
  </si>
  <si>
    <t xml:space="preserve">Figure 7. Change predicted from renting and car ownership, against the actual change</t>
  </si>
  <si>
    <t xml:space="preserve">5b Census shares</t>
  </si>
  <si>
    <t xml:space="preserve">Table: share of households renting privately and without a car, 2011 and 2021</t>
  </si>
  <si>
    <t xml:space="preserve">5c Other factors by year</t>
  </si>
  <si>
    <t xml:space="preserve">Figure 8. Moving, street-cleaning spending and enforcement, England</t>
  </si>
  <si>
    <t xml:space="preserve">5d Same council over time</t>
  </si>
  <si>
    <t xml:space="preserve">Figure 9. Moving rate and street-cleaning spending, each council compared with itself</t>
  </si>
  <si>
    <t xml:space="preserve">Official council counts (Defra). Size-of-load columns: the 223 councils whose recorded numbers changed only gradually (no sudden jump). Last column: all 296 English councils. Index columns are formulas (2012/13 = 100). From 2019/20 councils were also asked to count incidents their own crews find.</t>
  </si>
  <si>
    <t xml:space="preserve">Year</t>
  </si>
  <si>
    <t xml:space="preserve">Small items</t>
  </si>
  <si>
    <t xml:space="preserve">Van loads</t>
  </si>
  <si>
    <t xml:space="preserve">Tipper-lorry load or larger</t>
  </si>
  <si>
    <t xml:space="preserve">All fly-tipping (no sudden jump)</t>
  </si>
  <si>
    <t xml:space="preserve">All fly-tipping, all 296 councils</t>
  </si>
  <si>
    <t xml:space="preserve">Index: Small items</t>
  </si>
  <si>
    <t xml:space="preserve">Index: Van loads</t>
  </si>
  <si>
    <t xml:space="preserve">Index: Tipper-lorry load or larger</t>
  </si>
  <si>
    <t xml:space="preserve">Index: All fly-tipping (no sudden jump)</t>
  </si>
  <si>
    <t xml:space="preserve">Index: All fly-tipping, all 296 councils</t>
  </si>
  <si>
    <t xml:space="preserve">2012/13</t>
  </si>
  <si>
    <t xml:space="preserve">2013/14</t>
  </si>
  <si>
    <t xml:space="preserve">2014/15</t>
  </si>
  <si>
    <t xml:space="preserve">2015/16</t>
  </si>
  <si>
    <t xml:space="preserve">2016/17</t>
  </si>
  <si>
    <t xml:space="preserve">2017/18</t>
  </si>
  <si>
    <t xml:space="preserve">2018/19</t>
  </si>
  <si>
    <t xml:space="preserve">2019/20</t>
  </si>
  <si>
    <t xml:space="preserve">2020/21</t>
  </si>
  <si>
    <t xml:space="preserve">2021/22</t>
  </si>
  <si>
    <t xml:space="preserve">2022/23</t>
  </si>
  <si>
    <t xml:space="preserve">2023/24</t>
  </si>
  <si>
    <t xml:space="preserve">2024/25</t>
  </si>
  <si>
    <t xml:space="preserve">Change in fly-tipping per resident (rate ratio, with 95% likely range). The observations column gives the number of councils, council-years, neighbourhoods or closures behind each test.</t>
  </si>
  <si>
    <t xml:space="preserve">Test</t>
  </si>
  <si>
    <t xml:space="preserve">Observations</t>
  </si>
  <si>
    <t xml:space="preserve">Rate ratio</t>
  </si>
  <si>
    <t xml:space="preserve">Low</t>
  </si>
  <si>
    <t xml:space="preserve">High</t>
  </si>
  <si>
    <t xml:space="preserve">Change</t>
  </si>
  <si>
    <t xml:space="preserve">Change, low</t>
  </si>
  <si>
    <t xml:space="preserve">Change, high</t>
  </si>
  <si>
    <t xml:space="preserve">Councils further from a centre, compared with similar councils</t>
  </si>
  <si>
    <t xml:space="preserve">per 5 extra minutes; 950 council-years, 317 councils</t>
  </si>
  <si>
    <t xml:space="preserve">A council's average drive gets longer, same council over time</t>
  </si>
  <si>
    <t xml:space="preserve">per 5 extra minutes; 3,814 council-years, 296 councils</t>
  </si>
  <si>
    <t xml:space="preserve">Neighbourhoods further from a centre, same council and year</t>
  </si>
  <si>
    <t xml:space="preserve">per 5 extra minutes; 183,799 neighbourhood-years, 212 councils</t>
  </si>
  <si>
    <t xml:space="preserve">A neighbourhood's drive gets longer, same neighbourhood over time</t>
  </si>
  <si>
    <t xml:space="preserve">per 5 extra minutes; 1,692 neighbourhoods whose drive changed</t>
  </si>
  <si>
    <t xml:space="preserve">Years 1 to 4 after a closure, each closure weighted equally</t>
  </si>
  <si>
    <t xml:space="preserve">76 closures; 1,865 affected, 21,225 comparison neighbourhoods</t>
  </si>
  <si>
    <t xml:space="preserve">Years 1 to 4 after a closure, weighted by reports</t>
  </si>
  <si>
    <t xml:space="preserve">the same closures and neighbourhoods</t>
  </si>
  <si>
    <t xml:space="preserve">Councils' own incident records, areas further from a centre</t>
  </si>
  <si>
    <t xml:space="preserve">per 5 extra minutes; 11 councils, 182,072 incidents</t>
  </si>
  <si>
    <t xml:space="preserve">The nearest centre opens 10 fewer hours a week</t>
  </si>
  <si>
    <t xml:space="preserve">65,523 neighbourhood-years, 190 councils</t>
  </si>
  <si>
    <t xml:space="preserve">Ban on charging for DIY waste (2024), construction fly-tipping</t>
  </si>
  <si>
    <t xml:space="preserve">100 councils that charged vs 184 that did not</t>
  </si>
  <si>
    <t xml:space="preserve">Exception: a closure added 3 minutes or more, years after the closure</t>
  </si>
  <si>
    <t xml:space="preserve">985 neighbourhoods</t>
  </si>
  <si>
    <t xml:space="preserve">Change in fly-tipping per 10 percentage points more households renting privately, or without a car or van, comparing councils with similar deprivation, density and access. 950 council-years from 317 councils, 2022/23 to 2024/25, all characteristics in one model.</t>
  </si>
  <si>
    <t xml:space="preserve">Kind of fly-tipping</t>
  </si>
  <si>
    <t xml:space="preserve">Renting: rate ratio</t>
  </si>
  <si>
    <t xml:space="preserve">Renting: change</t>
  </si>
  <si>
    <t xml:space="preserve">No car: rate ratio</t>
  </si>
  <si>
    <t xml:space="preserve">No car: change</t>
  </si>
  <si>
    <t xml:space="preserve">Household black bags</t>
  </si>
  <si>
    <t xml:space="preserve">Bulky household and garden waste</t>
  </si>
  <si>
    <t xml:space="preserve">Van-sized loads</t>
  </si>
  <si>
    <t xml:space="preserve">Small items (single bag or item, car-boot load)</t>
  </si>
  <si>
    <t xml:space="preserve">Construction and demolition waste</t>
  </si>
  <si>
    <t xml:space="preserve">Official council counts, England and Wales, 2022/23 to 2024/25 (3,624,424 incidents). Street-type land: highways, footpaths and bridleways, council land and back alleys.</t>
  </si>
  <si>
    <t xml:space="preserve">Type of land</t>
  </si>
  <si>
    <t xml:space="preserve">Share of incidents</t>
  </si>
  <si>
    <t xml:space="preserve">Street-type land</t>
  </si>
  <si>
    <t xml:space="preserve">Highways</t>
  </si>
  <si>
    <t xml:space="preserve">yes</t>
  </si>
  <si>
    <t xml:space="preserve">Footpaths and bridleways</t>
  </si>
  <si>
    <t xml:space="preserve">Council land</t>
  </si>
  <si>
    <t xml:space="preserve">Other or not recorded</t>
  </si>
  <si>
    <t xml:space="preserve">no</t>
  </si>
  <si>
    <t xml:space="preserve">Back alleys</t>
  </si>
  <si>
    <t xml:space="preserve">Private and residential land</t>
  </si>
  <si>
    <t xml:space="preserve">Commercial and industrial</t>
  </si>
  <si>
    <t xml:space="preserve">Farmland</t>
  </si>
  <si>
    <t xml:space="preserve">Rivers and banks</t>
  </si>
  <si>
    <t xml:space="preserve">Railways</t>
  </si>
  <si>
    <t xml:space="preserve">Street-type land, total</t>
  </si>
  <si>
    <t xml:space="preserve">FixMyStreet reports (2012 to 2025) whose text says where the waste was: a doorstep, pavement or street, or an out-of-the-way place such as a layby, field or verge. Totals and shares are formulas.</t>
  </si>
  <si>
    <t xml:space="preserve">Reports</t>
  </si>
  <si>
    <t xml:space="preserve">Doorstep, pavement or street</t>
  </si>
  <si>
    <t xml:space="preserve">Out-of-the-way place</t>
  </si>
  <si>
    <t xml:space="preserve">Total</t>
  </si>
  <si>
    <t xml:space="preserve">Share in the street</t>
  </si>
  <si>
    <t xml:space="preserve">All reports with a setting</t>
  </si>
  <si>
    <t xml:space="preserve">Bags</t>
  </si>
  <si>
    <t xml:space="preserve">Bulky items</t>
  </si>
  <si>
    <t xml:space="preserve">Builders' waste</t>
  </si>
  <si>
    <t xml:space="preserve">England, 296 councils. Actual: recorded fly-tipping per person, 2012/13 to 2014/15 against 2022/23 to 2024/25. Predicted: national change in each Census share (2011 to 2021) times the council comparisons in figure 4 (all fly-tipping and tipper loads: whole-council model; small items and van loads: size-of-load models).</t>
  </si>
  <si>
    <t xml:space="preserve">Size of load</t>
  </si>
  <si>
    <t xml:space="preserve">From more renting</t>
  </si>
  <si>
    <t xml:space="preserve">From fewer car-less households</t>
  </si>
  <si>
    <t xml:space="preserve">Predicted, both</t>
  </si>
  <si>
    <t xml:space="preserve">Actual</t>
  </si>
  <si>
    <t xml:space="preserve">All fly-tipping</t>
  </si>
  <si>
    <t xml:space="preserve">Census 2011 (KS402EW, KS404EW) and Census 2021, 318 councils on 2025 boundaries (296 in England), weighted by households. Change is a formula, in percentage points.</t>
  </si>
  <si>
    <t xml:space="preserve">Nation</t>
  </si>
  <si>
    <t xml:space="preserve">Measure</t>
  </si>
  <si>
    <t xml:space="preserve">2011</t>
  </si>
  <si>
    <t xml:space="preserve">2021</t>
  </si>
  <si>
    <t xml:space="preserve">Change, percentage points</t>
  </si>
  <si>
    <t xml:space="preserve">England</t>
  </si>
  <si>
    <t xml:space="preserve">Renting privately</t>
  </si>
  <si>
    <t xml:space="preserve">No car or van</t>
  </si>
  <si>
    <t xml:space="preserve">Wales</t>
  </si>
  <si>
    <t xml:space="preserve">296 English councils. Rates per 1,000 incidents are formulas from the counts. Moving rate: moves into and out of each council area (from the UK or abroad) per 100 residents, weighted by population (ONS). Street cleaning: net current spending (revenue outturn RO5), from 2017/18; 2024/25 prices use the ONS consumer prices index (D7BT).</t>
  </si>
  <si>
    <t xml:space="preserve">Councils</t>
  </si>
  <si>
    <t xml:space="preserve">Population</t>
  </si>
  <si>
    <t xml:space="preserve">Incidents</t>
  </si>
  <si>
    <t xml:space="preserve">Prosecutions</t>
  </si>
  <si>
    <t xml:space="preserve">Fixed penalty notices</t>
  </si>
  <si>
    <t xml:space="preserve">Prosecutions per 1,000 incidents</t>
  </si>
  <si>
    <t xml:space="preserve">Fixed penalty notices per 1,000 incidents</t>
  </si>
  <si>
    <t xml:space="preserve">Residents moving in or out, per 100</t>
  </si>
  <si>
    <t xml:space="preserve">Street cleaning per person, GBP, prices of each year</t>
  </si>
  <si>
    <t xml:space="preserve">Street cleaning per person, GBP, 2024/25 prices</t>
  </si>
  <si>
    <t xml:space="preserve">Poisson models with council and year fixed effects. Moving: per 5 more residents in every 100 moving in or out, 2012/13 to 2024/25. Spending: street-cleaning spending per person halved, 2017/18 to 2024/25 (model also includes the moving rate). The story shows the councils with no sudden jump in recording.</t>
  </si>
  <si>
    <t xml:space="preserve">Factor</t>
  </si>
  <si>
    <t xml:space="preserve">p</t>
  </si>
  <si>
    <t xml:space="preserve">Number of councils</t>
  </si>
  <si>
    <t xml:space="preserve">Council-years</t>
  </si>
  <si>
    <t xml:space="preserve">5 more movers per 100 residents</t>
  </si>
  <si>
    <t xml:space="preserve">No sudden jump in recording</t>
  </si>
  <si>
    <t xml:space="preserve">All councils</t>
  </si>
  <si>
    <t xml:space="preserve">Street-cleaning spending halved</t>
  </si>
  <si>
    <t xml:space="preserve">Widening gap, tipper-lorry loads: per 10 percentage points more car-less households, growth per decade x1.48 (likely range 1.09 to 2.01; 296 councils, 3,709 council-years); in councils with no sudden jump x1.51 (0.90 to 2.54; 223 councils).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</si>
</sst>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0"/>
    <numFmt numFmtId="167" formatCode="0.000"/>
    <numFmt numFmtId="168" formatCode="\+0%;\-0%;0%"/>
    <numFmt numFmtId="169" formatCode="0.0%"/>
    <numFmt numFmtId="170" formatCode="#,##0"/>
    <numFmt numFmtId="171" formatCode="0%"/>
    <numFmt numFmtId="172" formatCode="\+0.0%;\-0.0%;0.0%"/>
    <numFmt numFmtId="173" formatCode="\+0.0;\-0.0"/>
    <numFmt numFmtId="174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1"/>
      <color rgb="FF1D5B4C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2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EE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5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ly_tipping_story_data.xlsx" TargetMode="External"/><Relationship Id="rId2" Type="http://schemas.openxmlformats.org/officeDocument/2006/relationships/hyperlink" Target="fly_tipping_story_data.xlsx" TargetMode="External"/><Relationship Id="rId3" Type="http://schemas.openxmlformats.org/officeDocument/2006/relationships/hyperlink" Target="fly_tipping_story_data.xlsx" TargetMode="External"/><Relationship Id="rId4" Type="http://schemas.openxmlformats.org/officeDocument/2006/relationships/hyperlink" Target="fly_tipping_story_data.xlsx" TargetMode="External"/><Relationship Id="rId5" Type="http://schemas.openxmlformats.org/officeDocument/2006/relationships/hyperlink" Target="fly_tipping_story_data.xlsx" TargetMode="External"/><Relationship Id="rId6" Type="http://schemas.openxmlformats.org/officeDocument/2006/relationships/hyperlink" Target="fly_tipping_story_data.xlsx" TargetMode="External"/><Relationship Id="rId7" Type="http://schemas.openxmlformats.org/officeDocument/2006/relationships/hyperlink" Target="fly_tipping_story_data.xlsx" TargetMode="External"/><Relationship Id="rId8" Type="http://schemas.openxmlformats.org/officeDocument/2006/relationships/hyperlink" Target="fly_tipping_story_data.xlsx" TargetMode="External"/><Relationship Id="rId9" Type="http://schemas.openxmlformats.org/officeDocument/2006/relationships/hyperlink" Target="fly_tipping_story_data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8"/>
  </cols>
  <sheetData>
    <row r="1" customFormat="false" ht="17.35" hidden="false" customHeight="false" outlineLevel="0" collapsed="false">
      <c r="A1" s="1" t="s">
        <v>0</v>
      </c>
    </row>
    <row r="3" customFormat="false" ht="48" hidden="false" customHeight="true" outlineLevel="0" collapsed="false">
      <c r="A3" s="2" t="s">
        <v>1</v>
      </c>
      <c r="B3" s="2"/>
      <c r="C3" s="2"/>
    </row>
    <row r="4" customFormat="false" ht="48" hidden="false" customHeight="true" outlineLevel="0" collapsed="false">
      <c r="A4" s="2" t="s">
        <v>2</v>
      </c>
      <c r="B4" s="2"/>
      <c r="C4" s="2"/>
    </row>
    <row r="5" customFormat="false" ht="48" hidden="false" customHeight="true" outlineLevel="0" collapsed="false">
      <c r="A5" s="2" t="s">
        <v>3</v>
      </c>
      <c r="B5" s="2"/>
      <c r="C5" s="2"/>
    </row>
    <row r="7" customFormat="false" ht="15" hidden="false" customHeight="false" outlineLevel="0" collapsed="false">
      <c r="A7" s="3" t="s">
        <v>4</v>
      </c>
      <c r="B7" s="3" t="s">
        <v>5</v>
      </c>
      <c r="C7" s="3" t="s">
        <v>6</v>
      </c>
    </row>
    <row r="8" customFormat="false" ht="15" hidden="false" customHeight="false" outlineLevel="0" collapsed="false">
      <c r="A8" s="4" t="s">
        <v>7</v>
      </c>
      <c r="B8" s="5" t="s">
        <v>8</v>
      </c>
      <c r="C8" s="5" t="n">
        <v>13</v>
      </c>
    </row>
    <row r="9" customFormat="false" ht="15" hidden="false" customHeight="false" outlineLevel="0" collapsed="false">
      <c r="A9" s="4" t="s">
        <v>9</v>
      </c>
      <c r="B9" s="5" t="s">
        <v>10</v>
      </c>
      <c r="C9" s="5" t="n">
        <v>10</v>
      </c>
    </row>
    <row r="10" customFormat="false" ht="15" hidden="false" customHeight="false" outlineLevel="0" collapsed="false">
      <c r="A10" s="4" t="s">
        <v>11</v>
      </c>
      <c r="B10" s="5" t="s">
        <v>12</v>
      </c>
      <c r="C10" s="5" t="n">
        <v>6</v>
      </c>
    </row>
    <row r="11" customFormat="false" ht="15" hidden="false" customHeight="false" outlineLevel="0" collapsed="false">
      <c r="A11" s="4" t="s">
        <v>13</v>
      </c>
      <c r="B11" s="5" t="s">
        <v>14</v>
      </c>
      <c r="C11" s="5" t="n">
        <v>11</v>
      </c>
    </row>
    <row r="12" customFormat="false" ht="15" hidden="false" customHeight="false" outlineLevel="0" collapsed="false">
      <c r="A12" s="4" t="s">
        <v>15</v>
      </c>
      <c r="B12" s="5" t="s">
        <v>16</v>
      </c>
      <c r="C12" s="5" t="n">
        <v>4</v>
      </c>
    </row>
    <row r="13" customFormat="false" ht="15" hidden="false" customHeight="false" outlineLevel="0" collapsed="false">
      <c r="A13" s="4" t="s">
        <v>17</v>
      </c>
      <c r="B13" s="5" t="s">
        <v>18</v>
      </c>
      <c r="C13" s="5" t="n">
        <v>4</v>
      </c>
    </row>
    <row r="14" customFormat="false" ht="15" hidden="false" customHeight="false" outlineLevel="0" collapsed="false">
      <c r="A14" s="4" t="s">
        <v>19</v>
      </c>
      <c r="B14" s="5" t="s">
        <v>20</v>
      </c>
      <c r="C14" s="5" t="n">
        <v>4</v>
      </c>
    </row>
    <row r="15" customFormat="false" ht="15" hidden="false" customHeight="false" outlineLevel="0" collapsed="false">
      <c r="A15" s="4" t="s">
        <v>21</v>
      </c>
      <c r="B15" s="5" t="s">
        <v>22</v>
      </c>
      <c r="C15" s="5" t="n">
        <v>13</v>
      </c>
    </row>
    <row r="16" customFormat="false" ht="15" hidden="false" customHeight="false" outlineLevel="0" collapsed="false">
      <c r="A16" s="4" t="s">
        <v>23</v>
      </c>
      <c r="B16" s="5" t="s">
        <v>24</v>
      </c>
      <c r="C16" s="5" t="n">
        <v>18</v>
      </c>
    </row>
  </sheetData>
  <mergeCells count="3">
    <mergeCell ref="A3:C3"/>
    <mergeCell ref="A4:C4"/>
    <mergeCell ref="A5:C5"/>
  </mergeCells>
  <hyperlinks>
    <hyperlink ref="A8" r:id="rId1" location="'1%20Trend'!A1" display="1 Trend"/>
    <hyperlink ref="A9" r:id="rId2" location="'2%20Access%20tests'!A1" display="2 Access tests"/>
    <hyperlink ref="A10" r:id="rId3" location="'3%20Renting%20and%20no%20car'!A1" display="3 Renting and no car"/>
    <hyperlink ref="A11" r:id="rId4" location="'4a%20Type%20of%20land'!A1" display="4a Type of land"/>
    <hyperlink ref="A12" r:id="rId5" location="'4b%20Street%20or%20out%20of%20way'!A1" display="4b Street or out of way"/>
    <hyperlink ref="A13" r:id="rId6" location="'5a%20Predicted%20vs%20actual'!A1" display="5a Predicted vs actual"/>
    <hyperlink ref="A14" r:id="rId7" location="'5b%20Census%20shares'!A1" display="5b Census shares"/>
    <hyperlink ref="A15" r:id="rId8" location="'5c%20Other%20factors%20by%20year'!A1" display="5c Other factors by year"/>
    <hyperlink ref="A16" r:id="rId9" location="'5d%20Same%20council%20over%20time'!A1" display="5d Same council over tim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1" min="2" style="0" width="16"/>
  </cols>
  <sheetData>
    <row r="1" customFormat="false" ht="16.15" hidden="false" customHeight="false" outlineLevel="0" collapsed="false">
      <c r="A1" s="6" t="s">
        <v>8</v>
      </c>
    </row>
    <row r="2" customFormat="false" ht="45" hidden="false" customHeight="true" outlineLevel="0" collapsed="false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customFormat="false" ht="39.55" hidden="false" customHeight="false" outlineLevel="0" collapsed="false">
      <c r="A4" s="8" t="s">
        <v>26</v>
      </c>
      <c r="B4" s="8" t="s">
        <v>27</v>
      </c>
      <c r="C4" s="8" t="s">
        <v>28</v>
      </c>
      <c r="D4" s="8" t="s">
        <v>29</v>
      </c>
      <c r="E4" s="8" t="s">
        <v>30</v>
      </c>
      <c r="F4" s="8" t="s">
        <v>31</v>
      </c>
      <c r="G4" s="8" t="s">
        <v>32</v>
      </c>
      <c r="H4" s="8" t="s">
        <v>33</v>
      </c>
      <c r="I4" s="8" t="s">
        <v>34</v>
      </c>
      <c r="J4" s="8" t="s">
        <v>35</v>
      </c>
      <c r="K4" s="8" t="s">
        <v>36</v>
      </c>
    </row>
    <row r="5" customFormat="false" ht="15" hidden="false" customHeight="false" outlineLevel="0" collapsed="false">
      <c r="A5" s="5" t="s">
        <v>37</v>
      </c>
      <c r="B5" s="9" t="n">
        <v>7.688</v>
      </c>
      <c r="C5" s="9" t="n">
        <v>5.773</v>
      </c>
      <c r="D5" s="9" t="n">
        <v>0.321</v>
      </c>
      <c r="E5" s="9" t="n">
        <v>13.533</v>
      </c>
      <c r="F5" s="9" t="n">
        <v>13.199</v>
      </c>
      <c r="G5" s="10" t="n">
        <f aca="false">B5/B$5*100</f>
        <v>100</v>
      </c>
      <c r="H5" s="10" t="n">
        <f aca="false">C5/C$5*100</f>
        <v>100</v>
      </c>
      <c r="I5" s="10" t="n">
        <f aca="false">D5/D$5*100</f>
        <v>100</v>
      </c>
      <c r="J5" s="10" t="n">
        <f aca="false">E5/E$5*100</f>
        <v>100</v>
      </c>
      <c r="K5" s="10" t="n">
        <f aca="false">F5/F$5*100</f>
        <v>100</v>
      </c>
    </row>
    <row r="6" customFormat="false" ht="15" hidden="false" customHeight="false" outlineLevel="0" collapsed="false">
      <c r="A6" s="5" t="s">
        <v>38</v>
      </c>
      <c r="B6" s="9" t="n">
        <v>7.507</v>
      </c>
      <c r="C6" s="9" t="n">
        <v>7.114</v>
      </c>
      <c r="D6" s="9" t="n">
        <v>0.399</v>
      </c>
      <c r="E6" s="9" t="n">
        <v>15.285</v>
      </c>
      <c r="F6" s="9" t="n">
        <v>15.725</v>
      </c>
      <c r="G6" s="10" t="n">
        <f aca="false">B6/B$5*100</f>
        <v>97.6456815816857</v>
      </c>
      <c r="H6" s="10" t="n">
        <f aca="false">C6/C$5*100</f>
        <v>123.228823835094</v>
      </c>
      <c r="I6" s="10" t="n">
        <f aca="false">D6/D$5*100</f>
        <v>124.299065420561</v>
      </c>
      <c r="J6" s="10" t="n">
        <f aca="false">E6/E$5*100</f>
        <v>112.94613167812</v>
      </c>
      <c r="K6" s="10" t="n">
        <f aca="false">F6/F$5*100</f>
        <v>119.137813470717</v>
      </c>
    </row>
    <row r="7" customFormat="false" ht="15" hidden="false" customHeight="false" outlineLevel="0" collapsed="false">
      <c r="A7" s="5" t="s">
        <v>39</v>
      </c>
      <c r="B7" s="9" t="n">
        <v>7.25</v>
      </c>
      <c r="C7" s="9" t="n">
        <v>7.179</v>
      </c>
      <c r="D7" s="9" t="n">
        <v>0.437</v>
      </c>
      <c r="E7" s="9" t="n">
        <v>15.275</v>
      </c>
      <c r="F7" s="9" t="n">
        <v>16.459</v>
      </c>
      <c r="G7" s="10" t="n">
        <f aca="false">B7/B$5*100</f>
        <v>94.3028095733611</v>
      </c>
      <c r="H7" s="10" t="n">
        <f aca="false">C7/C$5*100</f>
        <v>124.35475489347</v>
      </c>
      <c r="I7" s="10" t="n">
        <f aca="false">D7/D$5*100</f>
        <v>136.13707165109</v>
      </c>
      <c r="J7" s="10" t="n">
        <f aca="false">E7/E$5*100</f>
        <v>112.872238232469</v>
      </c>
      <c r="K7" s="10" t="n">
        <f aca="false">F7/F$5*100</f>
        <v>124.698840821274</v>
      </c>
    </row>
    <row r="8" customFormat="false" ht="15" hidden="false" customHeight="false" outlineLevel="0" collapsed="false">
      <c r="A8" s="5" t="s">
        <v>40</v>
      </c>
      <c r="B8" s="9" t="n">
        <v>6.524</v>
      </c>
      <c r="C8" s="9" t="n">
        <v>6.571</v>
      </c>
      <c r="D8" s="9" t="n">
        <v>0.396</v>
      </c>
      <c r="E8" s="9" t="n">
        <v>13.721</v>
      </c>
      <c r="F8" s="9" t="n">
        <v>14.969</v>
      </c>
      <c r="G8" s="10" t="n">
        <f aca="false">B8/B$5*100</f>
        <v>84.8595213319459</v>
      </c>
      <c r="H8" s="10" t="n">
        <f aca="false">C8/C$5*100</f>
        <v>113.822968993591</v>
      </c>
      <c r="I8" s="10" t="n">
        <f aca="false">D8/D$5*100</f>
        <v>123.364485981308</v>
      </c>
      <c r="J8" s="10" t="n">
        <f aca="false">E8/E$5*100</f>
        <v>101.389196778246</v>
      </c>
      <c r="K8" s="10" t="n">
        <f aca="false">F8/F$5*100</f>
        <v>113.410106826275</v>
      </c>
    </row>
    <row r="9" customFormat="false" ht="15" hidden="false" customHeight="false" outlineLevel="0" collapsed="false">
      <c r="A9" s="5" t="s">
        <v>41</v>
      </c>
      <c r="B9" s="9" t="n">
        <v>7.418</v>
      </c>
      <c r="C9" s="9" t="n">
        <v>8.077</v>
      </c>
      <c r="D9" s="9" t="n">
        <v>0.524</v>
      </c>
      <c r="E9" s="9" t="n">
        <v>16.371</v>
      </c>
      <c r="F9" s="9" t="n">
        <v>16.866</v>
      </c>
      <c r="G9" s="10" t="n">
        <f aca="false">B9/B$5*100</f>
        <v>96.4880332986473</v>
      </c>
      <c r="H9" s="10" t="n">
        <f aca="false">C9/C$5*100</f>
        <v>139.90992551533</v>
      </c>
      <c r="I9" s="10" t="n">
        <f aca="false">D9/D$5*100</f>
        <v>163.239875389408</v>
      </c>
      <c r="J9" s="10" t="n">
        <f aca="false">E9/E$5*100</f>
        <v>120.970959875859</v>
      </c>
      <c r="K9" s="10" t="n">
        <f aca="false">F9/F$5*100</f>
        <v>127.782407758164</v>
      </c>
    </row>
    <row r="10" customFormat="false" ht="15" hidden="false" customHeight="false" outlineLevel="0" collapsed="false">
      <c r="A10" s="5" t="s">
        <v>42</v>
      </c>
      <c r="B10" s="9" t="n">
        <v>7.305</v>
      </c>
      <c r="C10" s="9" t="n">
        <v>7.516</v>
      </c>
      <c r="D10" s="9" t="n">
        <v>0.612</v>
      </c>
      <c r="E10" s="9" t="n">
        <v>15.902</v>
      </c>
      <c r="F10" s="9" t="n">
        <v>16.088</v>
      </c>
      <c r="G10" s="10" t="n">
        <f aca="false">B10/B$5*100</f>
        <v>95.0182101977107</v>
      </c>
      <c r="H10" s="10" t="n">
        <f aca="false">C10/C$5*100</f>
        <v>130.192274380738</v>
      </c>
      <c r="I10" s="10" t="n">
        <f aca="false">D10/D$5*100</f>
        <v>190.654205607477</v>
      </c>
      <c r="J10" s="10" t="n">
        <f aca="false">E10/E$5*100</f>
        <v>117.50535727481</v>
      </c>
      <c r="K10" s="10" t="n">
        <f aca="false">F10/F$5*100</f>
        <v>121.888021819835</v>
      </c>
    </row>
    <row r="11" customFormat="false" ht="15" hidden="false" customHeight="false" outlineLevel="0" collapsed="false">
      <c r="A11" s="5" t="s">
        <v>43</v>
      </c>
      <c r="B11" s="9" t="n">
        <v>7.683</v>
      </c>
      <c r="C11" s="9" t="n">
        <v>7.61</v>
      </c>
      <c r="D11" s="9" t="n">
        <v>0.646</v>
      </c>
      <c r="E11" s="9" t="n">
        <v>16.434</v>
      </c>
      <c r="F11" s="9" t="n">
        <v>16.877</v>
      </c>
      <c r="G11" s="10" t="n">
        <f aca="false">B11/B$5*100</f>
        <v>99.9349635796046</v>
      </c>
      <c r="H11" s="10" t="n">
        <f aca="false">C11/C$5*100</f>
        <v>131.820543911311</v>
      </c>
      <c r="I11" s="10" t="n">
        <f aca="false">D11/D$5*100</f>
        <v>201.246105919003</v>
      </c>
      <c r="J11" s="10" t="n">
        <f aca="false">E11/E$5*100</f>
        <v>121.436488583463</v>
      </c>
      <c r="K11" s="10" t="n">
        <f aca="false">F11/F$5*100</f>
        <v>127.865747405106</v>
      </c>
    </row>
    <row r="12" customFormat="false" ht="15" hidden="false" customHeight="false" outlineLevel="0" collapsed="false">
      <c r="A12" s="5" t="s">
        <v>44</v>
      </c>
      <c r="B12" s="9" t="n">
        <v>7.447</v>
      </c>
      <c r="C12" s="9" t="n">
        <v>7.918</v>
      </c>
      <c r="D12" s="9" t="n">
        <v>0.55</v>
      </c>
      <c r="E12" s="9" t="n">
        <v>16.285</v>
      </c>
      <c r="F12" s="9" t="n">
        <v>17.424</v>
      </c>
      <c r="G12" s="10" t="n">
        <f aca="false">B12/B$5*100</f>
        <v>96.8652445369407</v>
      </c>
      <c r="H12" s="10" t="n">
        <f aca="false">C12/C$5*100</f>
        <v>137.155724926381</v>
      </c>
      <c r="I12" s="10" t="n">
        <f aca="false">D12/D$5*100</f>
        <v>171.339563862928</v>
      </c>
      <c r="J12" s="10" t="n">
        <f aca="false">E12/E$5*100</f>
        <v>120.335476243257</v>
      </c>
      <c r="K12" s="10" t="n">
        <f aca="false">F12/F$5*100</f>
        <v>132.010000757633</v>
      </c>
    </row>
    <row r="13" customFormat="false" ht="15" hidden="false" customHeight="false" outlineLevel="0" collapsed="false">
      <c r="A13" s="5" t="s">
        <v>45</v>
      </c>
      <c r="B13" s="9" t="n">
        <v>8.265</v>
      </c>
      <c r="C13" s="9" t="n">
        <v>9.03</v>
      </c>
      <c r="D13" s="9" t="n">
        <v>0.658</v>
      </c>
      <c r="E13" s="9" t="n">
        <v>18.55</v>
      </c>
      <c r="F13" s="9" t="n">
        <v>20.21</v>
      </c>
      <c r="G13" s="10" t="n">
        <f aca="false">B13/B$5*100</f>
        <v>107.505202913632</v>
      </c>
      <c r="H13" s="10" t="n">
        <f aca="false">C13/C$5*100</f>
        <v>156.417807032739</v>
      </c>
      <c r="I13" s="10" t="n">
        <f aca="false">D13/D$5*100</f>
        <v>204.984423676012</v>
      </c>
      <c r="J13" s="10" t="n">
        <f aca="false">E13/E$5*100</f>
        <v>137.072341683293</v>
      </c>
      <c r="K13" s="10" t="n">
        <f aca="false">F13/F$5*100</f>
        <v>153.11766042882</v>
      </c>
    </row>
    <row r="14" customFormat="false" ht="15" hidden="false" customHeight="false" outlineLevel="0" collapsed="false">
      <c r="A14" s="5" t="s">
        <v>46</v>
      </c>
      <c r="B14" s="9" t="n">
        <v>8.24</v>
      </c>
      <c r="C14" s="9" t="n">
        <v>7.901</v>
      </c>
      <c r="D14" s="9" t="n">
        <v>0.582</v>
      </c>
      <c r="E14" s="9" t="n">
        <v>17.346</v>
      </c>
      <c r="F14" s="9" t="n">
        <v>19.064</v>
      </c>
      <c r="G14" s="10" t="n">
        <f aca="false">B14/B$5*100</f>
        <v>107.180020811655</v>
      </c>
      <c r="H14" s="10" t="n">
        <f aca="false">C14/C$5*100</f>
        <v>136.861250649576</v>
      </c>
      <c r="I14" s="10" t="n">
        <f aca="false">D14/D$5*100</f>
        <v>181.308411214953</v>
      </c>
      <c r="J14" s="10" t="n">
        <f aca="false">E14/E$5*100</f>
        <v>128.175570826868</v>
      </c>
      <c r="K14" s="10" t="n">
        <f aca="false">F14/F$5*100</f>
        <v>144.435184483673</v>
      </c>
    </row>
    <row r="15" customFormat="false" ht="15" hidden="false" customHeight="false" outlineLevel="0" collapsed="false">
      <c r="A15" s="5" t="s">
        <v>47</v>
      </c>
      <c r="B15" s="9" t="n">
        <v>8.234</v>
      </c>
      <c r="C15" s="9" t="n">
        <v>7.38</v>
      </c>
      <c r="D15" s="9" t="n">
        <v>0.661</v>
      </c>
      <c r="E15" s="9" t="n">
        <v>16.822</v>
      </c>
      <c r="F15" s="9" t="n">
        <v>18.955</v>
      </c>
      <c r="G15" s="10" t="n">
        <f aca="false">B15/B$5*100</f>
        <v>107.10197710718</v>
      </c>
      <c r="H15" s="10" t="n">
        <f aca="false">C15/C$5*100</f>
        <v>127.836480166291</v>
      </c>
      <c r="I15" s="10" t="n">
        <f aca="false">D15/D$5*100</f>
        <v>205.919003115265</v>
      </c>
      <c r="J15" s="10" t="n">
        <f aca="false">E15/E$5*100</f>
        <v>124.303554274736</v>
      </c>
      <c r="K15" s="10" t="n">
        <f aca="false">F15/F$5*100</f>
        <v>143.609364345784</v>
      </c>
    </row>
    <row r="16" customFormat="false" ht="15" hidden="false" customHeight="false" outlineLevel="0" collapsed="false">
      <c r="A16" s="5" t="s">
        <v>48</v>
      </c>
      <c r="B16" s="9" t="n">
        <v>8.687</v>
      </c>
      <c r="C16" s="9" t="n">
        <v>7.813</v>
      </c>
      <c r="D16" s="9" t="n">
        <v>0.641</v>
      </c>
      <c r="E16" s="9" t="n">
        <v>17.551</v>
      </c>
      <c r="F16" s="9" t="n">
        <v>19.876</v>
      </c>
      <c r="G16" s="10" t="n">
        <f aca="false">B16/B$5*100</f>
        <v>112.994276795005</v>
      </c>
      <c r="H16" s="10" t="n">
        <f aca="false">C16/C$5*100</f>
        <v>135.336913216698</v>
      </c>
      <c r="I16" s="10" t="n">
        <f aca="false">D16/D$5*100</f>
        <v>199.688473520249</v>
      </c>
      <c r="J16" s="10" t="n">
        <f aca="false">E16/E$5*100</f>
        <v>129.690386462721</v>
      </c>
      <c r="K16" s="10" t="n">
        <f aca="false">F16/F$5*100</f>
        <v>150.587165694371</v>
      </c>
    </row>
    <row r="17" customFormat="false" ht="15" hidden="false" customHeight="false" outlineLevel="0" collapsed="false">
      <c r="A17" s="5" t="s">
        <v>49</v>
      </c>
      <c r="B17" s="9" t="n">
        <v>9.404</v>
      </c>
      <c r="C17" s="9" t="n">
        <v>8.544</v>
      </c>
      <c r="D17" s="9" t="n">
        <v>0.801</v>
      </c>
      <c r="E17" s="9" t="n">
        <v>19.366</v>
      </c>
      <c r="F17" s="9" t="n">
        <v>21.454</v>
      </c>
      <c r="G17" s="10" t="n">
        <f aca="false">B17/B$5*100</f>
        <v>122.320499479709</v>
      </c>
      <c r="H17" s="10" t="n">
        <f aca="false">C17/C$5*100</f>
        <v>147.999307119349</v>
      </c>
      <c r="I17" s="10" t="n">
        <f aca="false">D17/D$5*100</f>
        <v>249.532710280374</v>
      </c>
      <c r="J17" s="10" t="n">
        <f aca="false">E17/E$5*100</f>
        <v>143.102046848445</v>
      </c>
      <c r="K17" s="10" t="n">
        <f aca="false">F17/F$5*100</f>
        <v>162.542616864914</v>
      </c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52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8" min="7" style="0" width="11"/>
  </cols>
  <sheetData>
    <row r="1" customFormat="false" ht="16.15" hidden="false" customHeight="false" outlineLevel="0" collapsed="false">
      <c r="A1" s="6" t="s">
        <v>10</v>
      </c>
    </row>
    <row r="2" customFormat="false" ht="45" hidden="false" customHeight="true" outlineLevel="0" collapsed="false">
      <c r="A2" s="7" t="s">
        <v>50</v>
      </c>
      <c r="B2" s="7"/>
      <c r="C2" s="7"/>
      <c r="D2" s="7"/>
      <c r="E2" s="7"/>
      <c r="F2" s="7"/>
      <c r="G2" s="7"/>
      <c r="H2" s="7"/>
    </row>
    <row r="4" customFormat="false" ht="15" hidden="false" customHeight="false" outlineLevel="0" collapsed="false">
      <c r="A4" s="8" t="s">
        <v>51</v>
      </c>
      <c r="B4" s="8" t="s">
        <v>52</v>
      </c>
      <c r="C4" s="8" t="s">
        <v>53</v>
      </c>
      <c r="D4" s="8" t="s">
        <v>54</v>
      </c>
      <c r="E4" s="8" t="s">
        <v>55</v>
      </c>
      <c r="F4" s="8" t="s">
        <v>56</v>
      </c>
      <c r="G4" s="8" t="s">
        <v>57</v>
      </c>
      <c r="H4" s="8" t="s">
        <v>58</v>
      </c>
    </row>
    <row r="5" customFormat="false" ht="15" hidden="false" customHeight="false" outlineLevel="0" collapsed="false">
      <c r="A5" s="5" t="s">
        <v>59</v>
      </c>
      <c r="B5" s="5" t="s">
        <v>60</v>
      </c>
      <c r="C5" s="11" t="n">
        <v>1.07214365270148</v>
      </c>
      <c r="D5" s="11" t="n">
        <v>0.885060272639136</v>
      </c>
      <c r="E5" s="11" t="n">
        <v>1.29877257805328</v>
      </c>
      <c r="F5" s="12" t="n">
        <f aca="false">C5-1</f>
        <v>0.07214365270148</v>
      </c>
      <c r="G5" s="12" t="n">
        <f aca="false">D5-1</f>
        <v>-0.114939727360864</v>
      </c>
      <c r="H5" s="12" t="n">
        <f aca="false">E5-1</f>
        <v>0.298772578053283</v>
      </c>
    </row>
    <row r="6" customFormat="false" ht="15" hidden="false" customHeight="false" outlineLevel="0" collapsed="false">
      <c r="A6" s="5" t="s">
        <v>61</v>
      </c>
      <c r="B6" s="5" t="s">
        <v>62</v>
      </c>
      <c r="C6" s="11" t="n">
        <v>0.969821236194794</v>
      </c>
      <c r="D6" s="11" t="n">
        <v>0.578599601272853</v>
      </c>
      <c r="E6" s="11" t="n">
        <v>1.62556840361675</v>
      </c>
      <c r="F6" s="12" t="n">
        <f aca="false">C6-1</f>
        <v>-0.0301787638052058</v>
      </c>
      <c r="G6" s="12" t="n">
        <f aca="false">D6-1</f>
        <v>-0.421400398727147</v>
      </c>
      <c r="H6" s="12" t="n">
        <f aca="false">E6-1</f>
        <v>0.62556840361675</v>
      </c>
    </row>
    <row r="7" customFormat="false" ht="15" hidden="false" customHeight="false" outlineLevel="0" collapsed="false">
      <c r="A7" s="5" t="s">
        <v>63</v>
      </c>
      <c r="B7" s="5" t="s">
        <v>64</v>
      </c>
      <c r="C7" s="11" t="n">
        <v>0.929118914767398</v>
      </c>
      <c r="D7" s="11" t="n">
        <v>0.807721127802708</v>
      </c>
      <c r="E7" s="11" t="n">
        <v>1.06876238353073</v>
      </c>
      <c r="F7" s="12" t="n">
        <f aca="false">C7-1</f>
        <v>-0.0708810852326022</v>
      </c>
      <c r="G7" s="12" t="n">
        <f aca="false">D7-1</f>
        <v>-0.192278872197292</v>
      </c>
      <c r="H7" s="12" t="n">
        <f aca="false">E7-1</f>
        <v>0.068762383530725</v>
      </c>
    </row>
    <row r="8" customFormat="false" ht="15" hidden="false" customHeight="false" outlineLevel="0" collapsed="false">
      <c r="A8" s="5" t="s">
        <v>65</v>
      </c>
      <c r="B8" s="5" t="s">
        <v>66</v>
      </c>
      <c r="C8" s="11" t="n">
        <v>1.13533341936025</v>
      </c>
      <c r="D8" s="11" t="n">
        <v>0.993897191754022</v>
      </c>
      <c r="E8" s="11" t="n">
        <v>1.29689668489903</v>
      </c>
      <c r="F8" s="12" t="n">
        <f aca="false">C8-1</f>
        <v>0.135333419360254</v>
      </c>
      <c r="G8" s="12" t="n">
        <f aca="false">D8-1</f>
        <v>-0.00610280824597764</v>
      </c>
      <c r="H8" s="12" t="n">
        <f aca="false">E8-1</f>
        <v>0.29689668489903</v>
      </c>
    </row>
    <row r="9" customFormat="false" ht="15" hidden="false" customHeight="false" outlineLevel="0" collapsed="false">
      <c r="A9" s="5" t="s">
        <v>67</v>
      </c>
      <c r="B9" s="5" t="s">
        <v>68</v>
      </c>
      <c r="C9" s="11" t="n">
        <v>0.946512533179724</v>
      </c>
      <c r="D9" s="11" t="n">
        <v>0.725503826904647</v>
      </c>
      <c r="E9" s="11" t="n">
        <v>1.23484665723761</v>
      </c>
      <c r="F9" s="12" t="n">
        <f aca="false">C9-1</f>
        <v>-0.0534874668202764</v>
      </c>
      <c r="G9" s="12" t="n">
        <f aca="false">D9-1</f>
        <v>-0.274496173095353</v>
      </c>
      <c r="H9" s="12" t="n">
        <f aca="false">E9-1</f>
        <v>0.23484665723761</v>
      </c>
    </row>
    <row r="10" customFormat="false" ht="15" hidden="false" customHeight="false" outlineLevel="0" collapsed="false">
      <c r="A10" s="5" t="s">
        <v>69</v>
      </c>
      <c r="B10" s="5" t="s">
        <v>70</v>
      </c>
      <c r="C10" s="11" t="n">
        <v>1.13366951645391</v>
      </c>
      <c r="D10" s="11" t="n">
        <v>0.924920455820186</v>
      </c>
      <c r="E10" s="11" t="n">
        <v>1.38953200185974</v>
      </c>
      <c r="F10" s="12" t="n">
        <f aca="false">C10-1</f>
        <v>0.133669516453912</v>
      </c>
      <c r="G10" s="12" t="n">
        <f aca="false">D10-1</f>
        <v>-0.075079544179814</v>
      </c>
      <c r="H10" s="12" t="n">
        <f aca="false">E10-1</f>
        <v>0.389532001859741</v>
      </c>
    </row>
    <row r="11" customFormat="false" ht="15" hidden="false" customHeight="false" outlineLevel="0" collapsed="false">
      <c r="A11" s="5" t="s">
        <v>71</v>
      </c>
      <c r="B11" s="5" t="s">
        <v>72</v>
      </c>
      <c r="C11" s="11" t="n">
        <v>1.02992866068645</v>
      </c>
      <c r="D11" s="11" t="n">
        <v>0.893239049144787</v>
      </c>
      <c r="E11" s="11" t="n">
        <v>1.18753546110527</v>
      </c>
      <c r="F11" s="12" t="n">
        <f aca="false">C11-1</f>
        <v>0.0299286606864531</v>
      </c>
      <c r="G11" s="12" t="n">
        <f aca="false">D11-1</f>
        <v>-0.106760950855214</v>
      </c>
      <c r="H11" s="12" t="n">
        <f aca="false">E11-1</f>
        <v>0.187535461105274</v>
      </c>
    </row>
    <row r="12" customFormat="false" ht="15" hidden="false" customHeight="false" outlineLevel="0" collapsed="false">
      <c r="A12" s="5" t="s">
        <v>73</v>
      </c>
      <c r="B12" s="5" t="s">
        <v>74</v>
      </c>
      <c r="C12" s="11" t="n">
        <v>1.01438586130387</v>
      </c>
      <c r="D12" s="11" t="n">
        <v>0.960838070481536</v>
      </c>
      <c r="E12" s="11" t="n">
        <v>1.07091788640047</v>
      </c>
      <c r="F12" s="12" t="n">
        <f aca="false">C12-1</f>
        <v>0.0143858613038681</v>
      </c>
      <c r="G12" s="12" t="n">
        <f aca="false">D12-1</f>
        <v>-0.0391619295184644</v>
      </c>
      <c r="H12" s="12" t="n">
        <f aca="false">E12-1</f>
        <v>0.0709178864004669</v>
      </c>
    </row>
    <row r="13" customFormat="false" ht="15" hidden="false" customHeight="false" outlineLevel="0" collapsed="false">
      <c r="A13" s="5" t="s">
        <v>75</v>
      </c>
      <c r="B13" s="5" t="s">
        <v>76</v>
      </c>
      <c r="C13" s="11" t="n">
        <v>1.06452251460788</v>
      </c>
      <c r="D13" s="11" t="n">
        <v>0.734963331102202</v>
      </c>
      <c r="E13" s="11" t="n">
        <v>1.5418567650275</v>
      </c>
      <c r="F13" s="12" t="n">
        <f aca="false">C13-1</f>
        <v>0.064522514607875</v>
      </c>
      <c r="G13" s="12" t="n">
        <f aca="false">D13-1</f>
        <v>-0.265036668897798</v>
      </c>
      <c r="H13" s="12" t="n">
        <f aca="false">E13-1</f>
        <v>0.541856765027495</v>
      </c>
    </row>
    <row r="14" customFormat="false" ht="15" hidden="false" customHeight="false" outlineLevel="0" collapsed="false">
      <c r="A14" s="5" t="s">
        <v>77</v>
      </c>
      <c r="B14" s="5" t="s">
        <v>78</v>
      </c>
      <c r="C14" s="11" t="n">
        <v>1.28102318640454</v>
      </c>
      <c r="D14" s="11" t="n">
        <v>1.06963675218014</v>
      </c>
      <c r="E14" s="11" t="n">
        <v>1.53418476016396</v>
      </c>
      <c r="F14" s="12" t="n">
        <f aca="false">C14-1</f>
        <v>0.28102318640454</v>
      </c>
      <c r="G14" s="12" t="n">
        <f aca="false">D14-1</f>
        <v>0.0696367521801351</v>
      </c>
      <c r="H14" s="12" t="n">
        <f aca="false">E14-1</f>
        <v>0.534184760163962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3" min="2" style="0" width="11"/>
  </cols>
  <sheetData>
    <row r="1" customFormat="false" ht="16.15" hidden="false" customHeight="false" outlineLevel="0" collapsed="false">
      <c r="A1" s="6" t="s">
        <v>12</v>
      </c>
    </row>
    <row r="2" customFormat="false" ht="45" hidden="false" customHeight="true" outlineLevel="0" collapsed="false">
      <c r="A2" s="7" t="s">
        <v>79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4" customFormat="false" ht="26.85" hidden="false" customHeight="false" outlineLevel="0" collapsed="false">
      <c r="A4" s="8" t="s">
        <v>80</v>
      </c>
      <c r="B4" s="8" t="s">
        <v>81</v>
      </c>
      <c r="C4" s="8" t="s">
        <v>54</v>
      </c>
      <c r="D4" s="8" t="s">
        <v>55</v>
      </c>
      <c r="E4" s="8" t="s">
        <v>82</v>
      </c>
      <c r="F4" s="8" t="s">
        <v>54</v>
      </c>
      <c r="G4" s="8" t="s">
        <v>55</v>
      </c>
      <c r="H4" s="8" t="s">
        <v>83</v>
      </c>
      <c r="I4" s="8" t="s">
        <v>54</v>
      </c>
      <c r="J4" s="8" t="s">
        <v>55</v>
      </c>
      <c r="K4" s="8" t="s">
        <v>84</v>
      </c>
      <c r="L4" s="8" t="s">
        <v>54</v>
      </c>
      <c r="M4" s="8" t="s">
        <v>55</v>
      </c>
    </row>
    <row r="5" customFormat="false" ht="15" hidden="false" customHeight="false" outlineLevel="0" collapsed="false">
      <c r="A5" s="5" t="s">
        <v>85</v>
      </c>
      <c r="B5" s="11" t="n">
        <v>2.0696825800496</v>
      </c>
      <c r="C5" s="11" t="n">
        <v>1.17471333289247</v>
      </c>
      <c r="D5" s="11" t="n">
        <v>3.64649473383722</v>
      </c>
      <c r="E5" s="12" t="n">
        <f aca="false">B5-1</f>
        <v>1.0696825800496</v>
      </c>
      <c r="F5" s="12" t="n">
        <f aca="false">C5-1</f>
        <v>0.174713332892473</v>
      </c>
      <c r="G5" s="12" t="n">
        <f aca="false">D5-1</f>
        <v>2.64649473383722</v>
      </c>
      <c r="H5" s="11" t="n">
        <v>0.867177773072603</v>
      </c>
      <c r="I5" s="11" t="n">
        <v>0.492789637662989</v>
      </c>
      <c r="J5" s="11" t="n">
        <v>1.52600061494279</v>
      </c>
      <c r="K5" s="12" t="n">
        <f aca="false">H5-1</f>
        <v>-0.132822226927397</v>
      </c>
      <c r="L5" s="12" t="n">
        <f aca="false">I5-1</f>
        <v>-0.507210362337011</v>
      </c>
      <c r="M5" s="12" t="n">
        <f aca="false">J5-1</f>
        <v>0.526000614942794</v>
      </c>
    </row>
    <row r="6" customFormat="false" ht="15" hidden="false" customHeight="false" outlineLevel="0" collapsed="false">
      <c r="A6" s="5" t="s">
        <v>86</v>
      </c>
      <c r="B6" s="11" t="n">
        <v>1.8016839910118</v>
      </c>
      <c r="C6" s="11" t="n">
        <v>1.23773649949607</v>
      </c>
      <c r="D6" s="11" t="n">
        <v>2.6225817892498</v>
      </c>
      <c r="E6" s="12" t="n">
        <f aca="false">B6-1</f>
        <v>0.801683991011796</v>
      </c>
      <c r="F6" s="12" t="n">
        <f aca="false">C6-1</f>
        <v>0.237736499496073</v>
      </c>
      <c r="G6" s="12" t="n">
        <f aca="false">D6-1</f>
        <v>1.6225817892498</v>
      </c>
      <c r="H6" s="11" t="n">
        <v>1.21880751007468</v>
      </c>
      <c r="I6" s="11" t="n">
        <v>0.759107488945872</v>
      </c>
      <c r="J6" s="11" t="n">
        <v>1.95689249315305</v>
      </c>
      <c r="K6" s="12" t="n">
        <f aca="false">H6-1</f>
        <v>0.21880751007468</v>
      </c>
      <c r="L6" s="12" t="n">
        <f aca="false">I6-1</f>
        <v>-0.240892511054128</v>
      </c>
      <c r="M6" s="12" t="n">
        <f aca="false">J6-1</f>
        <v>0.956892493153054</v>
      </c>
    </row>
    <row r="7" customFormat="false" ht="15" hidden="false" customHeight="false" outlineLevel="0" collapsed="false">
      <c r="A7" s="5" t="s">
        <v>87</v>
      </c>
      <c r="B7" s="11" t="n">
        <v>1.44486975221695</v>
      </c>
      <c r="C7" s="11" t="n">
        <v>1.05872298506872</v>
      </c>
      <c r="D7" s="11" t="n">
        <v>1.97185536756432</v>
      </c>
      <c r="E7" s="12" t="n">
        <f aca="false">B7-1</f>
        <v>0.444869752216951</v>
      </c>
      <c r="F7" s="12" t="n">
        <f aca="false">C7-1</f>
        <v>0.058722985068721</v>
      </c>
      <c r="G7" s="12" t="n">
        <f aca="false">D7-1</f>
        <v>0.971855367564317</v>
      </c>
      <c r="H7" s="11" t="n">
        <v>1.37074866960857</v>
      </c>
      <c r="I7" s="11" t="n">
        <v>0.979935971386671</v>
      </c>
      <c r="J7" s="11" t="n">
        <v>1.91742314814185</v>
      </c>
      <c r="K7" s="12" t="n">
        <f aca="false">H7-1</f>
        <v>0.370748669608571</v>
      </c>
      <c r="L7" s="12" t="n">
        <f aca="false">I7-1</f>
        <v>-0.0200640286133288</v>
      </c>
      <c r="M7" s="12" t="n">
        <f aca="false">J7-1</f>
        <v>0.917423148141845</v>
      </c>
    </row>
    <row r="8" customFormat="false" ht="15" hidden="false" customHeight="false" outlineLevel="0" collapsed="false">
      <c r="A8" s="5" t="s">
        <v>88</v>
      </c>
      <c r="B8" s="11" t="n">
        <v>0.930047580057385</v>
      </c>
      <c r="C8" s="11" t="n">
        <v>0.517820533377798</v>
      </c>
      <c r="D8" s="11" t="n">
        <v>1.67044071336489</v>
      </c>
      <c r="E8" s="12" t="n">
        <f aca="false">B8-1</f>
        <v>-0.0699524199426146</v>
      </c>
      <c r="F8" s="12" t="n">
        <f aca="false">C8-1</f>
        <v>-0.482179466622202</v>
      </c>
      <c r="G8" s="12" t="n">
        <f aca="false">D8-1</f>
        <v>0.670440713364892</v>
      </c>
      <c r="H8" s="11" t="n">
        <v>1.26623604089954</v>
      </c>
      <c r="I8" s="11" t="n">
        <v>0.829386519992368</v>
      </c>
      <c r="J8" s="11" t="n">
        <v>1.93318033585559</v>
      </c>
      <c r="K8" s="12" t="n">
        <f aca="false">H8-1</f>
        <v>0.266236040899541</v>
      </c>
      <c r="L8" s="12" t="n">
        <f aca="false">I8-1</f>
        <v>-0.170613480007632</v>
      </c>
      <c r="M8" s="12" t="n">
        <f aca="false">J8-1</f>
        <v>0.933180335855587</v>
      </c>
    </row>
    <row r="9" customFormat="false" ht="15" hidden="false" customHeight="false" outlineLevel="0" collapsed="false">
      <c r="A9" s="5" t="s">
        <v>89</v>
      </c>
      <c r="B9" s="11" t="n">
        <v>1.13050406535643</v>
      </c>
      <c r="C9" s="11" t="n">
        <v>0.638831883421944</v>
      </c>
      <c r="D9" s="11" t="n">
        <v>2.00058806542577</v>
      </c>
      <c r="E9" s="12" t="n">
        <f aca="false">B9-1</f>
        <v>0.130504065356427</v>
      </c>
      <c r="F9" s="12" t="n">
        <f aca="false">C9-1</f>
        <v>-0.361168116578057</v>
      </c>
      <c r="G9" s="12" t="n">
        <f aca="false">D9-1</f>
        <v>1.00058806542577</v>
      </c>
      <c r="H9" s="11" t="n">
        <v>2.14979046795728</v>
      </c>
      <c r="I9" s="11" t="n">
        <v>1.16314933864112</v>
      </c>
      <c r="J9" s="11" t="n">
        <v>3.97334968312779</v>
      </c>
      <c r="K9" s="12" t="n">
        <f aca="false">H9-1</f>
        <v>1.14979046795728</v>
      </c>
      <c r="L9" s="12" t="n">
        <f aca="false">I9-1</f>
        <v>0.16314933864112</v>
      </c>
      <c r="M9" s="12" t="n">
        <f aca="false">J9-1</f>
        <v>2.97334968312779</v>
      </c>
    </row>
    <row r="10" customFormat="false" ht="15" hidden="false" customHeight="false" outlineLevel="0" collapsed="false">
      <c r="A10" s="5" t="s">
        <v>29</v>
      </c>
      <c r="B10" s="11" t="n">
        <v>1.54140808465454</v>
      </c>
      <c r="C10" s="11" t="n">
        <v>0.66393322698895</v>
      </c>
      <c r="D10" s="11" t="n">
        <v>3.5785810784221</v>
      </c>
      <c r="E10" s="12" t="n">
        <f aca="false">B10-1</f>
        <v>0.541408084654541</v>
      </c>
      <c r="F10" s="12" t="n">
        <f aca="false">C10-1</f>
        <v>-0.33606677301105</v>
      </c>
      <c r="G10" s="12" t="n">
        <f aca="false">D10-1</f>
        <v>2.5785810784221</v>
      </c>
      <c r="H10" s="11" t="n">
        <v>2.05189644350079</v>
      </c>
      <c r="I10" s="11" t="n">
        <v>1.12576059761643</v>
      </c>
      <c r="J10" s="11" t="n">
        <v>3.73994171031179</v>
      </c>
      <c r="K10" s="12" t="n">
        <f aca="false">H10-1</f>
        <v>1.05189644350079</v>
      </c>
      <c r="L10" s="12" t="n">
        <f aca="false">I10-1</f>
        <v>0.125760597616425</v>
      </c>
      <c r="M10" s="12" t="n">
        <f aca="false">J10-1</f>
        <v>2.73994171031179</v>
      </c>
    </row>
  </sheetData>
  <mergeCells count="1"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</cols>
  <sheetData>
    <row r="1" customFormat="false" ht="16.15" hidden="false" customHeight="false" outlineLevel="0" collapsed="false">
      <c r="A1" s="6" t="s">
        <v>14</v>
      </c>
    </row>
    <row r="2" customFormat="false" ht="45" hidden="false" customHeight="true" outlineLevel="0" collapsed="false">
      <c r="A2" s="7" t="s">
        <v>90</v>
      </c>
      <c r="B2" s="7"/>
      <c r="C2" s="7"/>
      <c r="D2" s="7"/>
    </row>
    <row r="4" customFormat="false" ht="15" hidden="false" customHeight="false" outlineLevel="0" collapsed="false">
      <c r="A4" s="8" t="s">
        <v>91</v>
      </c>
      <c r="B4" s="8" t="s">
        <v>92</v>
      </c>
      <c r="C4" s="8" t="s">
        <v>93</v>
      </c>
    </row>
    <row r="5" customFormat="false" ht="15" hidden="false" customHeight="false" outlineLevel="0" collapsed="false">
      <c r="A5" s="5" t="s">
        <v>94</v>
      </c>
      <c r="B5" s="13" t="n">
        <v>0.383</v>
      </c>
      <c r="C5" s="5" t="s">
        <v>95</v>
      </c>
    </row>
    <row r="6" customFormat="false" ht="15" hidden="false" customHeight="false" outlineLevel="0" collapsed="false">
      <c r="A6" s="5" t="s">
        <v>96</v>
      </c>
      <c r="B6" s="13" t="n">
        <v>0.183</v>
      </c>
      <c r="C6" s="5" t="s">
        <v>95</v>
      </c>
    </row>
    <row r="7" customFormat="false" ht="15" hidden="false" customHeight="false" outlineLevel="0" collapsed="false">
      <c r="A7" s="5" t="s">
        <v>97</v>
      </c>
      <c r="B7" s="13" t="n">
        <v>0.174</v>
      </c>
      <c r="C7" s="5" t="s">
        <v>95</v>
      </c>
    </row>
    <row r="8" customFormat="false" ht="15" hidden="false" customHeight="false" outlineLevel="0" collapsed="false">
      <c r="A8" s="5" t="s">
        <v>98</v>
      </c>
      <c r="B8" s="13" t="n">
        <v>0.143</v>
      </c>
      <c r="C8" s="5" t="s">
        <v>99</v>
      </c>
    </row>
    <row r="9" customFormat="false" ht="15" hidden="false" customHeight="false" outlineLevel="0" collapsed="false">
      <c r="A9" s="5" t="s">
        <v>100</v>
      </c>
      <c r="B9" s="13" t="n">
        <v>0.093</v>
      </c>
      <c r="C9" s="5" t="s">
        <v>95</v>
      </c>
    </row>
    <row r="10" customFormat="false" ht="15" hidden="false" customHeight="false" outlineLevel="0" collapsed="false">
      <c r="A10" s="5" t="s">
        <v>101</v>
      </c>
      <c r="B10" s="13" t="n">
        <v>0.013</v>
      </c>
      <c r="C10" s="5" t="s">
        <v>99</v>
      </c>
    </row>
    <row r="11" customFormat="false" ht="15" hidden="false" customHeight="false" outlineLevel="0" collapsed="false">
      <c r="A11" s="5" t="s">
        <v>102</v>
      </c>
      <c r="B11" s="13" t="n">
        <v>0.004</v>
      </c>
      <c r="C11" s="5" t="s">
        <v>99</v>
      </c>
    </row>
    <row r="12" customFormat="false" ht="15" hidden="false" customHeight="false" outlineLevel="0" collapsed="false">
      <c r="A12" s="5" t="s">
        <v>103</v>
      </c>
      <c r="B12" s="13" t="n">
        <v>0.003</v>
      </c>
      <c r="C12" s="5" t="s">
        <v>99</v>
      </c>
    </row>
    <row r="13" customFormat="false" ht="15" hidden="false" customHeight="false" outlineLevel="0" collapsed="false">
      <c r="A13" s="5" t="s">
        <v>104</v>
      </c>
      <c r="B13" s="13" t="n">
        <v>0.003</v>
      </c>
      <c r="C13" s="5" t="s">
        <v>99</v>
      </c>
    </row>
    <row r="14" customFormat="false" ht="15" hidden="false" customHeight="false" outlineLevel="0" collapsed="false">
      <c r="A14" s="5" t="s">
        <v>105</v>
      </c>
      <c r="B14" s="13" t="n">
        <v>0.002</v>
      </c>
      <c r="C14" s="5" t="s">
        <v>99</v>
      </c>
    </row>
    <row r="15" customFormat="false" ht="15" hidden="false" customHeight="false" outlineLevel="0" collapsed="false">
      <c r="A15" s="5" t="s">
        <v>106</v>
      </c>
      <c r="B15" s="13" t="n">
        <f aca="false">SUMIFS(B5:B14,C5:C14,"yes")</f>
        <v>0.833</v>
      </c>
      <c r="C15" s="5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6" t="s">
        <v>16</v>
      </c>
    </row>
    <row r="2" customFormat="false" ht="45" hidden="false" customHeight="true" outlineLevel="0" collapsed="false">
      <c r="A2" s="7" t="s">
        <v>107</v>
      </c>
      <c r="B2" s="7"/>
      <c r="C2" s="7"/>
      <c r="D2" s="7"/>
      <c r="E2" s="7"/>
    </row>
    <row r="4" customFormat="false" ht="26.85" hidden="false" customHeight="false" outlineLevel="0" collapsed="false">
      <c r="A4" s="8" t="s">
        <v>108</v>
      </c>
      <c r="B4" s="8" t="s">
        <v>109</v>
      </c>
      <c r="C4" s="8" t="s">
        <v>110</v>
      </c>
      <c r="D4" s="8" t="s">
        <v>111</v>
      </c>
      <c r="E4" s="8" t="s">
        <v>112</v>
      </c>
    </row>
    <row r="5" customFormat="false" ht="15" hidden="false" customHeight="false" outlineLevel="0" collapsed="false">
      <c r="A5" s="5" t="s">
        <v>113</v>
      </c>
      <c r="B5" s="14" t="n">
        <v>196952</v>
      </c>
      <c r="C5" s="14" t="n">
        <v>111091</v>
      </c>
      <c r="D5" s="14" t="n">
        <f aca="false">B5+C5</f>
        <v>308043</v>
      </c>
      <c r="E5" s="15" t="n">
        <f aca="false">B5/D5</f>
        <v>0.639365283418224</v>
      </c>
    </row>
    <row r="6" customFormat="false" ht="15" hidden="false" customHeight="false" outlineLevel="0" collapsed="false">
      <c r="A6" s="5" t="s">
        <v>114</v>
      </c>
      <c r="B6" s="14" t="n">
        <v>56903</v>
      </c>
      <c r="C6" s="14" t="n">
        <v>25731</v>
      </c>
      <c r="D6" s="14" t="n">
        <f aca="false">B6+C6</f>
        <v>82634</v>
      </c>
      <c r="E6" s="15" t="n">
        <f aca="false">B6/D6</f>
        <v>0.688614855870465</v>
      </c>
    </row>
    <row r="7" customFormat="false" ht="15" hidden="false" customHeight="false" outlineLevel="0" collapsed="false">
      <c r="A7" s="5" t="s">
        <v>115</v>
      </c>
      <c r="B7" s="14" t="n">
        <v>64351</v>
      </c>
      <c r="C7" s="14" t="n">
        <v>28119</v>
      </c>
      <c r="D7" s="14" t="n">
        <f aca="false">B7+C7</f>
        <v>92470</v>
      </c>
      <c r="E7" s="15" t="n">
        <f aca="false">B7/D7</f>
        <v>0.695912187736563</v>
      </c>
    </row>
    <row r="8" customFormat="false" ht="15" hidden="false" customHeight="false" outlineLevel="0" collapsed="false">
      <c r="A8" s="5" t="s">
        <v>116</v>
      </c>
      <c r="B8" s="14" t="n">
        <v>15296</v>
      </c>
      <c r="C8" s="14" t="n">
        <v>14196</v>
      </c>
      <c r="D8" s="14" t="n">
        <f aca="false">B8+C8</f>
        <v>29492</v>
      </c>
      <c r="E8" s="15" t="n">
        <f aca="false">B8/D8</f>
        <v>0.518649125186491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6.15" hidden="false" customHeight="false" outlineLevel="0" collapsed="false">
      <c r="A1" s="6" t="s">
        <v>18</v>
      </c>
    </row>
    <row r="2" customFormat="false" ht="45" hidden="false" customHeight="true" outlineLevel="0" collapsed="false">
      <c r="A2" s="7" t="s">
        <v>117</v>
      </c>
      <c r="B2" s="7"/>
      <c r="C2" s="7"/>
      <c r="D2" s="7"/>
      <c r="E2" s="7"/>
    </row>
    <row r="4" customFormat="false" ht="26.85" hidden="false" customHeight="false" outlineLevel="0" collapsed="false">
      <c r="A4" s="8" t="s">
        <v>118</v>
      </c>
      <c r="B4" s="8" t="s">
        <v>119</v>
      </c>
      <c r="C4" s="8" t="s">
        <v>120</v>
      </c>
      <c r="D4" s="8" t="s">
        <v>121</v>
      </c>
      <c r="E4" s="8" t="s">
        <v>122</v>
      </c>
    </row>
    <row r="5" customFormat="false" ht="15" hidden="false" customHeight="false" outlineLevel="0" collapsed="false">
      <c r="A5" s="5" t="s">
        <v>123</v>
      </c>
      <c r="B5" s="16" t="n">
        <v>0.0620896009618612</v>
      </c>
      <c r="C5" s="16" t="n">
        <v>-0.0547522051068093</v>
      </c>
      <c r="D5" s="16" t="n">
        <f aca="false">(1+B5)*(1+C5)-1</f>
        <v>0.00393785328818819</v>
      </c>
      <c r="E5" s="16" t="n">
        <v>0.328289059282425</v>
      </c>
    </row>
    <row r="6" customFormat="false" ht="15" hidden="false" customHeight="false" outlineLevel="0" collapsed="false">
      <c r="A6" s="5" t="s">
        <v>27</v>
      </c>
      <c r="B6" s="16" t="n">
        <v>-0.0258917492552736</v>
      </c>
      <c r="C6" s="16" t="n">
        <v>-0.0519092419642626</v>
      </c>
      <c r="D6" s="16" t="n">
        <f aca="false">(1+B6)*(1+C6)-1</f>
        <v>-0.0764569701425663</v>
      </c>
      <c r="E6" s="16" t="n">
        <v>0.255550833772331</v>
      </c>
    </row>
    <row r="7" customFormat="false" ht="15" hidden="false" customHeight="false" outlineLevel="0" collapsed="false">
      <c r="A7" s="5" t="s">
        <v>28</v>
      </c>
      <c r="B7" s="16" t="n">
        <v>0.142393196374892</v>
      </c>
      <c r="C7" s="16" t="n">
        <v>-0.0687379979883602</v>
      </c>
      <c r="D7" s="16" t="n">
        <f aca="false">(1+B7)*(1+C7)-1</f>
        <v>0.0638673751405581</v>
      </c>
      <c r="E7" s="16" t="n">
        <v>0.317877612276629</v>
      </c>
    </row>
    <row r="8" customFormat="false" ht="15" hidden="false" customHeight="false" outlineLevel="0" collapsed="false">
      <c r="A8" s="5" t="s">
        <v>29</v>
      </c>
      <c r="B8" s="16" t="n">
        <v>0.169435715794008</v>
      </c>
      <c r="C8" s="16" t="n">
        <v>-0.149824908392364</v>
      </c>
      <c r="D8" s="16" t="n">
        <f aca="false">(1+B8)*(1+C8)-1</f>
        <v>-0.00577488319558739</v>
      </c>
      <c r="E8" s="16" t="n">
        <v>1.07840528506979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4" min="3" style="0" width="10"/>
    <col collapsed="false" customWidth="true" hidden="false" outlineLevel="0" max="5" min="5" style="0" width="16"/>
  </cols>
  <sheetData>
    <row r="1" customFormat="false" ht="16.15" hidden="false" customHeight="false" outlineLevel="0" collapsed="false">
      <c r="A1" s="6" t="s">
        <v>20</v>
      </c>
    </row>
    <row r="2" customFormat="false" ht="45" hidden="false" customHeight="true" outlineLevel="0" collapsed="false">
      <c r="A2" s="7" t="s">
        <v>124</v>
      </c>
      <c r="B2" s="7"/>
      <c r="C2" s="7"/>
      <c r="D2" s="7"/>
      <c r="E2" s="7"/>
    </row>
    <row r="4" customFormat="false" ht="26.85" hidden="false" customHeight="false" outlineLevel="0" collapsed="false">
      <c r="A4" s="8" t="s">
        <v>125</v>
      </c>
      <c r="B4" s="8" t="s">
        <v>126</v>
      </c>
      <c r="C4" s="8" t="s">
        <v>127</v>
      </c>
      <c r="D4" s="8" t="s">
        <v>128</v>
      </c>
      <c r="E4" s="8" t="s">
        <v>129</v>
      </c>
    </row>
    <row r="5" customFormat="false" ht="15" hidden="false" customHeight="false" outlineLevel="0" collapsed="false">
      <c r="A5" s="5" t="s">
        <v>130</v>
      </c>
      <c r="B5" s="5" t="s">
        <v>131</v>
      </c>
      <c r="C5" s="13" t="n">
        <v>0.168414261983937</v>
      </c>
      <c r="D5" s="13" t="n">
        <v>0.204596174944646</v>
      </c>
      <c r="E5" s="17" t="n">
        <f aca="false">(D5-C5)*100</f>
        <v>3.61819129607097</v>
      </c>
    </row>
    <row r="6" customFormat="false" ht="15" hidden="false" customHeight="false" outlineLevel="0" collapsed="false">
      <c r="A6" s="5" t="s">
        <v>130</v>
      </c>
      <c r="B6" s="5" t="s">
        <v>132</v>
      </c>
      <c r="C6" s="13" t="n">
        <v>0.257953206849471</v>
      </c>
      <c r="D6" s="13" t="n">
        <v>0.235367847235198</v>
      </c>
      <c r="E6" s="17" t="n">
        <f aca="false">(D6-C6)*100</f>
        <v>-2.25853596142732</v>
      </c>
    </row>
    <row r="7" customFormat="false" ht="15" hidden="false" customHeight="false" outlineLevel="0" collapsed="false">
      <c r="A7" s="5" t="s">
        <v>133</v>
      </c>
      <c r="B7" s="5" t="s">
        <v>131</v>
      </c>
      <c r="C7" s="13" t="n">
        <v>0.141436904495055</v>
      </c>
      <c r="D7" s="13" t="n">
        <v>0.169741677486117</v>
      </c>
      <c r="E7" s="17" t="n">
        <f aca="false">(D7-C7)*100</f>
        <v>2.83047729910619</v>
      </c>
    </row>
    <row r="8" customFormat="false" ht="15" hidden="false" customHeight="false" outlineLevel="0" collapsed="false">
      <c r="A8" s="5" t="s">
        <v>133</v>
      </c>
      <c r="B8" s="5" t="s">
        <v>132</v>
      </c>
      <c r="C8" s="13" t="n">
        <v>0.229164108036073</v>
      </c>
      <c r="D8" s="13" t="n">
        <v>0.194384018317718</v>
      </c>
      <c r="E8" s="17" t="n">
        <f aca="false">(D8-C8)*100</f>
        <v>-3.4780089718355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13"/>
    <col collapsed="false" customWidth="true" hidden="false" outlineLevel="0" max="9" min="7" style="0" width="15"/>
    <col collapsed="false" customWidth="true" hidden="false" outlineLevel="0" max="11" min="10" style="0" width="17"/>
  </cols>
  <sheetData>
    <row r="1" customFormat="false" ht="16.15" hidden="false" customHeight="false" outlineLevel="0" collapsed="false">
      <c r="A1" s="6" t="s">
        <v>22</v>
      </c>
    </row>
    <row r="2" customFormat="false" ht="45" hidden="false" customHeight="true" outlineLevel="0" collapsed="false">
      <c r="A2" s="7" t="s">
        <v>134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customFormat="false" ht="39.55" hidden="false" customHeight="false" outlineLevel="0" collapsed="false">
      <c r="A4" s="8" t="s">
        <v>26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139</v>
      </c>
      <c r="G4" s="8" t="s">
        <v>140</v>
      </c>
      <c r="H4" s="8" t="s">
        <v>141</v>
      </c>
      <c r="I4" s="8" t="s">
        <v>142</v>
      </c>
      <c r="J4" s="8" t="s">
        <v>143</v>
      </c>
      <c r="K4" s="8" t="s">
        <v>144</v>
      </c>
    </row>
    <row r="5" customFormat="false" ht="15" hidden="false" customHeight="false" outlineLevel="0" collapsed="false">
      <c r="A5" s="5" t="s">
        <v>37</v>
      </c>
      <c r="B5" s="5" t="n">
        <v>296</v>
      </c>
      <c r="C5" s="14" t="n">
        <v>53506812</v>
      </c>
      <c r="D5" s="14" t="n">
        <v>706239</v>
      </c>
      <c r="E5" s="14" t="n">
        <v>2170</v>
      </c>
      <c r="F5" s="14" t="n">
        <v>35433</v>
      </c>
      <c r="G5" s="9" t="n">
        <f aca="false">E5/D5*1000</f>
        <v>3.0726142283278</v>
      </c>
      <c r="H5" s="18" t="n">
        <f aca="false">F5/D5*1000</f>
        <v>50.1714008996954</v>
      </c>
      <c r="I5" s="18" t="n">
        <v>12.849</v>
      </c>
      <c r="J5" s="9"/>
      <c r="K5" s="9"/>
    </row>
    <row r="6" customFormat="false" ht="15" hidden="false" customHeight="false" outlineLevel="0" collapsed="false">
      <c r="A6" s="5" t="s">
        <v>38</v>
      </c>
      <c r="B6" s="5" t="n">
        <v>296</v>
      </c>
      <c r="C6" s="14" t="n">
        <v>53918686</v>
      </c>
      <c r="D6" s="14" t="n">
        <v>847856</v>
      </c>
      <c r="E6" s="14" t="n">
        <v>2002</v>
      </c>
      <c r="F6" s="14" t="n">
        <v>36835</v>
      </c>
      <c r="G6" s="9" t="n">
        <f aca="false">E6/D6*1000</f>
        <v>2.36125002358891</v>
      </c>
      <c r="H6" s="18" t="n">
        <f aca="false">F6/D6*1000</f>
        <v>43.4448774320168</v>
      </c>
      <c r="I6" s="18" t="n">
        <v>12.679</v>
      </c>
      <c r="J6" s="9"/>
      <c r="K6" s="9"/>
    </row>
    <row r="7" customFormat="false" ht="15" hidden="false" customHeight="false" outlineLevel="0" collapsed="false">
      <c r="A7" s="5" t="s">
        <v>39</v>
      </c>
      <c r="B7" s="5" t="n">
        <v>296</v>
      </c>
      <c r="C7" s="14" t="n">
        <v>54370319</v>
      </c>
      <c r="D7" s="14" t="n">
        <v>894871</v>
      </c>
      <c r="E7" s="14" t="n">
        <v>1810</v>
      </c>
      <c r="F7" s="14" t="n">
        <v>38149</v>
      </c>
      <c r="G7" s="9" t="n">
        <f aca="false">E7/D7*1000</f>
        <v>2.02263789976432</v>
      </c>
      <c r="H7" s="18" t="n">
        <f aca="false">F7/D7*1000</f>
        <v>42.6307255459167</v>
      </c>
      <c r="I7" s="18" t="n">
        <v>13.716</v>
      </c>
      <c r="J7" s="9"/>
      <c r="K7" s="9"/>
    </row>
    <row r="8" customFormat="false" ht="15" hidden="false" customHeight="false" outlineLevel="0" collapsed="false">
      <c r="A8" s="5" t="s">
        <v>40</v>
      </c>
      <c r="B8" s="5" t="n">
        <v>296</v>
      </c>
      <c r="C8" s="14" t="n">
        <v>54808676</v>
      </c>
      <c r="D8" s="14" t="n">
        <v>820428</v>
      </c>
      <c r="E8" s="14" t="n">
        <v>2203</v>
      </c>
      <c r="F8" s="14" t="n">
        <v>35888</v>
      </c>
      <c r="G8" s="9" t="n">
        <f aca="false">E8/D8*1000</f>
        <v>2.68518383087852</v>
      </c>
      <c r="H8" s="18" t="n">
        <f aca="false">F8/D8*1000</f>
        <v>43.7430219348925</v>
      </c>
      <c r="I8" s="18" t="n">
        <v>13.577</v>
      </c>
      <c r="J8" s="9"/>
      <c r="K8" s="9"/>
    </row>
    <row r="9" customFormat="false" ht="15" hidden="false" customHeight="false" outlineLevel="0" collapsed="false">
      <c r="A9" s="5" t="s">
        <v>41</v>
      </c>
      <c r="B9" s="5" t="n">
        <v>296</v>
      </c>
      <c r="C9" s="14" t="n">
        <v>55289034</v>
      </c>
      <c r="D9" s="14" t="n">
        <v>932499</v>
      </c>
      <c r="E9" s="14" t="n">
        <v>1571</v>
      </c>
      <c r="F9" s="14" t="n">
        <v>57271</v>
      </c>
      <c r="G9" s="9" t="n">
        <f aca="false">E9/D9*1000</f>
        <v>1.68472030533009</v>
      </c>
      <c r="H9" s="18" t="n">
        <f aca="false">F9/D9*1000</f>
        <v>61.4166878463141</v>
      </c>
      <c r="I9" s="18" t="n">
        <v>13.571</v>
      </c>
      <c r="J9" s="9"/>
      <c r="K9" s="9"/>
    </row>
    <row r="10" customFormat="false" ht="15" hidden="false" customHeight="false" outlineLevel="0" collapsed="false">
      <c r="A10" s="5" t="s">
        <v>42</v>
      </c>
      <c r="B10" s="5" t="n">
        <v>296</v>
      </c>
      <c r="C10" s="14" t="n">
        <v>55619548</v>
      </c>
      <c r="D10" s="14" t="n">
        <v>894789</v>
      </c>
      <c r="E10" s="14" t="n">
        <v>2108</v>
      </c>
      <c r="F10" s="14" t="n">
        <v>68903</v>
      </c>
      <c r="G10" s="9" t="n">
        <f aca="false">E10/D10*1000</f>
        <v>2.35586266706453</v>
      </c>
      <c r="H10" s="18" t="n">
        <f aca="false">F10/D10*1000</f>
        <v>77.0047463703734</v>
      </c>
      <c r="I10" s="18" t="n">
        <v>14.823</v>
      </c>
      <c r="J10" s="9" t="n">
        <v>11.896</v>
      </c>
      <c r="K10" s="9" t="n">
        <v>15.441</v>
      </c>
    </row>
    <row r="11" customFormat="false" ht="15" hidden="false" customHeight="false" outlineLevel="0" collapsed="false">
      <c r="A11" s="5" t="s">
        <v>43</v>
      </c>
      <c r="B11" s="5" t="n">
        <v>296</v>
      </c>
      <c r="C11" s="14" t="n">
        <v>55924528</v>
      </c>
      <c r="D11" s="14" t="n">
        <v>943846</v>
      </c>
      <c r="E11" s="14" t="n">
        <v>2005</v>
      </c>
      <c r="F11" s="14" t="n">
        <v>76963</v>
      </c>
      <c r="G11" s="9" t="n">
        <f aca="false">E11/D11*1000</f>
        <v>2.12428722482269</v>
      </c>
      <c r="H11" s="18" t="n">
        <f aca="false">F11/D11*1000</f>
        <v>81.54190408181</v>
      </c>
      <c r="I11" s="18" t="n">
        <v>14.736</v>
      </c>
      <c r="J11" s="9" t="n">
        <v>12.418</v>
      </c>
      <c r="K11" s="9" t="n">
        <v>15.762</v>
      </c>
    </row>
    <row r="12" customFormat="false" ht="15" hidden="false" customHeight="false" outlineLevel="0" collapsed="false">
      <c r="A12" s="5" t="s">
        <v>44</v>
      </c>
      <c r="B12" s="5" t="n">
        <v>296</v>
      </c>
      <c r="C12" s="14" t="n">
        <v>56230056</v>
      </c>
      <c r="D12" s="14" t="n">
        <v>979728</v>
      </c>
      <c r="E12" s="14" t="n">
        <v>1930</v>
      </c>
      <c r="F12" s="14" t="n">
        <v>75445</v>
      </c>
      <c r="G12" s="9" t="n">
        <f aca="false">E12/D12*1000</f>
        <v>1.9699345124361</v>
      </c>
      <c r="H12" s="18" t="n">
        <f aca="false">F12/D12*1000</f>
        <v>77.0060669900217</v>
      </c>
      <c r="I12" s="18" t="n">
        <v>15.187</v>
      </c>
      <c r="J12" s="9" t="n">
        <v>12.368</v>
      </c>
      <c r="K12" s="9" t="n">
        <v>15.459</v>
      </c>
    </row>
    <row r="13" customFormat="false" ht="15" hidden="false" customHeight="false" outlineLevel="0" collapsed="false">
      <c r="A13" s="5" t="s">
        <v>45</v>
      </c>
      <c r="B13" s="5" t="n">
        <v>296</v>
      </c>
      <c r="C13" s="14" t="n">
        <v>56325961</v>
      </c>
      <c r="D13" s="14" t="n">
        <v>1138347</v>
      </c>
      <c r="E13" s="14" t="n">
        <v>721</v>
      </c>
      <c r="F13" s="14" t="n">
        <v>57658</v>
      </c>
      <c r="G13" s="9" t="n">
        <f aca="false">E13/D13*1000</f>
        <v>0.633374533424343</v>
      </c>
      <c r="H13" s="18" t="n">
        <f aca="false">F13/D13*1000</f>
        <v>50.6506364052437</v>
      </c>
      <c r="I13" s="18" t="n">
        <v>13.776</v>
      </c>
      <c r="J13" s="9" t="n">
        <v>12.314</v>
      </c>
      <c r="K13" s="9" t="n">
        <v>15.195</v>
      </c>
    </row>
    <row r="14" customFormat="false" ht="15" hidden="false" customHeight="false" outlineLevel="0" collapsed="false">
      <c r="A14" s="5" t="s">
        <v>46</v>
      </c>
      <c r="B14" s="5" t="n">
        <v>296</v>
      </c>
      <c r="C14" s="14" t="n">
        <v>56554891</v>
      </c>
      <c r="D14" s="14" t="n">
        <v>1078172</v>
      </c>
      <c r="E14" s="14" t="n">
        <v>1960</v>
      </c>
      <c r="F14" s="14" t="n">
        <v>91034</v>
      </c>
      <c r="G14" s="9" t="n">
        <f aca="false">E14/D14*1000</f>
        <v>1.8178917649503</v>
      </c>
      <c r="H14" s="18" t="n">
        <f aca="false">F14/D14*1000</f>
        <v>84.4336525155541</v>
      </c>
      <c r="I14" s="18" t="n">
        <v>15.789</v>
      </c>
      <c r="J14" s="9" t="n">
        <v>13.008</v>
      </c>
      <c r="K14" s="9" t="n">
        <v>15.391</v>
      </c>
    </row>
    <row r="15" customFormat="false" ht="15" hidden="false" customHeight="false" outlineLevel="0" collapsed="false">
      <c r="A15" s="5" t="s">
        <v>47</v>
      </c>
      <c r="B15" s="5" t="n">
        <v>296</v>
      </c>
      <c r="C15" s="14" t="n">
        <v>57189701</v>
      </c>
      <c r="D15" s="14" t="n">
        <v>1084044</v>
      </c>
      <c r="E15" s="14" t="n">
        <v>1681</v>
      </c>
      <c r="F15" s="14" t="n">
        <v>66661</v>
      </c>
      <c r="G15" s="9" t="n">
        <f aca="false">E15/D15*1000</f>
        <v>1.55067506484977</v>
      </c>
      <c r="H15" s="18" t="n">
        <f aca="false">F15/D15*1000</f>
        <v>61.4928914324511</v>
      </c>
      <c r="I15" s="18" t="n">
        <v>15.489</v>
      </c>
      <c r="J15" s="9" t="n">
        <v>14.018</v>
      </c>
      <c r="K15" s="9" t="n">
        <v>15.276</v>
      </c>
    </row>
    <row r="16" customFormat="false" ht="15" hidden="false" customHeight="false" outlineLevel="0" collapsed="false">
      <c r="A16" s="5" t="s">
        <v>48</v>
      </c>
      <c r="B16" s="5" t="n">
        <v>296</v>
      </c>
      <c r="C16" s="14" t="n">
        <v>57990791</v>
      </c>
      <c r="D16" s="14" t="n">
        <v>1152632</v>
      </c>
      <c r="E16" s="14" t="n">
        <v>1598</v>
      </c>
      <c r="F16" s="14" t="n">
        <v>63303</v>
      </c>
      <c r="G16" s="9" t="n">
        <f aca="false">E16/D16*1000</f>
        <v>1.38639218761929</v>
      </c>
      <c r="H16" s="18" t="n">
        <f aca="false">F16/D16*1000</f>
        <v>54.9203908966609</v>
      </c>
      <c r="I16" s="18" t="n">
        <v>15.681</v>
      </c>
      <c r="J16" s="9" t="n">
        <v>15.043</v>
      </c>
      <c r="K16" s="9" t="n">
        <v>15.464</v>
      </c>
    </row>
    <row r="17" customFormat="false" ht="15" hidden="false" customHeight="false" outlineLevel="0" collapsed="false">
      <c r="A17" s="5" t="s">
        <v>49</v>
      </c>
      <c r="B17" s="5" t="n">
        <v>296</v>
      </c>
      <c r="C17" s="14" t="n">
        <v>58607170</v>
      </c>
      <c r="D17" s="14" t="n">
        <v>1257357</v>
      </c>
      <c r="E17" s="14" t="n">
        <v>1377</v>
      </c>
      <c r="F17" s="14" t="n">
        <v>68760</v>
      </c>
      <c r="G17" s="9" t="n">
        <f aca="false">E17/D17*1000</f>
        <v>1.09515435950172</v>
      </c>
      <c r="H17" s="18" t="n">
        <f aca="false">F17/D17*1000</f>
        <v>54.6861392587785</v>
      </c>
      <c r="I17" s="18" t="n">
        <v>15.719</v>
      </c>
      <c r="J17" s="9" t="n">
        <v>15.571</v>
      </c>
      <c r="K17" s="9" t="n">
        <v>15.571</v>
      </c>
    </row>
  </sheetData>
  <mergeCells count="1"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6" min="5" style="0" width="9"/>
    <col collapsed="false" customWidth="true" hidden="false" outlineLevel="0" max="7" min="7" style="0" width="10"/>
    <col collapsed="false" customWidth="true" hidden="false" outlineLevel="0" max="9" min="8" style="0" width="11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12"/>
  </cols>
  <sheetData>
    <row r="1" customFormat="false" ht="16.15" hidden="false" customHeight="false" outlineLevel="0" collapsed="false">
      <c r="A1" s="6" t="s">
        <v>24</v>
      </c>
    </row>
    <row r="2" customFormat="false" ht="45" hidden="false" customHeight="true" outlineLevel="0" collapsed="false">
      <c r="A2" s="7" t="s">
        <v>145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customFormat="false" ht="26.85" hidden="false" customHeight="false" outlineLevel="0" collapsed="false">
      <c r="A4" s="8" t="s">
        <v>146</v>
      </c>
      <c r="B4" s="8" t="s">
        <v>118</v>
      </c>
      <c r="C4" s="8" t="s">
        <v>135</v>
      </c>
      <c r="D4" s="8" t="s">
        <v>53</v>
      </c>
      <c r="E4" s="8" t="s">
        <v>54</v>
      </c>
      <c r="F4" s="8" t="s">
        <v>55</v>
      </c>
      <c r="G4" s="8" t="s">
        <v>56</v>
      </c>
      <c r="H4" s="8" t="s">
        <v>57</v>
      </c>
      <c r="I4" s="8" t="s">
        <v>58</v>
      </c>
      <c r="J4" s="8" t="s">
        <v>147</v>
      </c>
      <c r="K4" s="8" t="s">
        <v>148</v>
      </c>
      <c r="L4" s="8" t="s">
        <v>149</v>
      </c>
    </row>
    <row r="5" customFormat="false" ht="15" hidden="false" customHeight="false" outlineLevel="0" collapsed="false">
      <c r="A5" s="5" t="s">
        <v>150</v>
      </c>
      <c r="B5" s="5" t="s">
        <v>123</v>
      </c>
      <c r="C5" s="5" t="s">
        <v>151</v>
      </c>
      <c r="D5" s="11" t="n">
        <v>1.16262887075487</v>
      </c>
      <c r="E5" s="11" t="n">
        <v>1.00773793391</v>
      </c>
      <c r="F5" s="11" t="n">
        <v>1.34132679303651</v>
      </c>
      <c r="G5" s="12" t="n">
        <f aca="false">D5-1</f>
        <v>0.162628870754867</v>
      </c>
      <c r="H5" s="12" t="n">
        <f aca="false">E5-1</f>
        <v>0.007737933909997</v>
      </c>
      <c r="I5" s="12" t="n">
        <f aca="false">F5-1</f>
        <v>0.341326793036513</v>
      </c>
      <c r="J5" s="11" t="n">
        <v>0.0388598177250161</v>
      </c>
      <c r="K5" s="14" t="n">
        <v>222</v>
      </c>
      <c r="L5" s="14" t="n">
        <v>2875</v>
      </c>
    </row>
    <row r="6" customFormat="false" ht="15" hidden="false" customHeight="false" outlineLevel="0" collapsed="false">
      <c r="A6" s="5" t="s">
        <v>150</v>
      </c>
      <c r="B6" s="5" t="s">
        <v>123</v>
      </c>
      <c r="C6" s="5" t="s">
        <v>152</v>
      </c>
      <c r="D6" s="11" t="n">
        <v>1.21815359718092</v>
      </c>
      <c r="E6" s="11" t="n">
        <v>1.00119838591121</v>
      </c>
      <c r="F6" s="11" t="n">
        <v>1.48212203216277</v>
      </c>
      <c r="G6" s="12" t="n">
        <f aca="false">D6-1</f>
        <v>0.218153597180918</v>
      </c>
      <c r="H6" s="12" t="n">
        <f aca="false">E6-1</f>
        <v>0.00119838591121191</v>
      </c>
      <c r="I6" s="12" t="n">
        <f aca="false">F6-1</f>
        <v>0.482122032162771</v>
      </c>
      <c r="J6" s="11" t="n">
        <v>0.0486132344151517</v>
      </c>
      <c r="K6" s="14" t="n">
        <v>295</v>
      </c>
      <c r="L6" s="14" t="n">
        <v>3814</v>
      </c>
    </row>
    <row r="7" customFormat="false" ht="15" hidden="false" customHeight="false" outlineLevel="0" collapsed="false">
      <c r="A7" s="5" t="s">
        <v>150</v>
      </c>
      <c r="B7" s="5" t="s">
        <v>27</v>
      </c>
      <c r="C7" s="5" t="s">
        <v>151</v>
      </c>
      <c r="D7" s="11" t="n">
        <v>1.21298487615296</v>
      </c>
      <c r="E7" s="11" t="n">
        <v>0.945014922112343</v>
      </c>
      <c r="F7" s="11" t="n">
        <v>1.55694082214811</v>
      </c>
      <c r="G7" s="12" t="n">
        <f aca="false">D7-1</f>
        <v>0.212984876152963</v>
      </c>
      <c r="H7" s="12" t="n">
        <f aca="false">E7-1</f>
        <v>-0.0549850778876568</v>
      </c>
      <c r="I7" s="12" t="n">
        <f aca="false">F7-1</f>
        <v>0.556940822148106</v>
      </c>
      <c r="J7" s="11" t="n">
        <v>0.129526794058167</v>
      </c>
      <c r="K7" s="14" t="n">
        <v>222</v>
      </c>
      <c r="L7" s="14" t="n">
        <v>2874</v>
      </c>
    </row>
    <row r="8" customFormat="false" ht="15" hidden="false" customHeight="false" outlineLevel="0" collapsed="false">
      <c r="A8" s="5" t="s">
        <v>150</v>
      </c>
      <c r="B8" s="5" t="s">
        <v>27</v>
      </c>
      <c r="C8" s="5" t="s">
        <v>152</v>
      </c>
      <c r="D8" s="11" t="n">
        <v>1.1869194069388</v>
      </c>
      <c r="E8" s="11" t="n">
        <v>0.926061720909607</v>
      </c>
      <c r="F8" s="11" t="n">
        <v>1.52125678748951</v>
      </c>
      <c r="G8" s="12" t="n">
        <f aca="false">D8-1</f>
        <v>0.186919406938803</v>
      </c>
      <c r="H8" s="12" t="n">
        <f aca="false">E8-1</f>
        <v>-0.0739382790903929</v>
      </c>
      <c r="I8" s="12" t="n">
        <f aca="false">F8-1</f>
        <v>0.521256787489514</v>
      </c>
      <c r="J8" s="11" t="n">
        <v>0.175944456471089</v>
      </c>
      <c r="K8" s="14" t="n">
        <v>295</v>
      </c>
      <c r="L8" s="14" t="n">
        <v>3813</v>
      </c>
    </row>
    <row r="9" customFormat="false" ht="15" hidden="false" customHeight="false" outlineLevel="0" collapsed="false">
      <c r="A9" s="5" t="s">
        <v>150</v>
      </c>
      <c r="B9" s="5" t="s">
        <v>28</v>
      </c>
      <c r="C9" s="5" t="s">
        <v>151</v>
      </c>
      <c r="D9" s="11" t="n">
        <v>1.19884622995004</v>
      </c>
      <c r="E9" s="11" t="n">
        <v>1.00507832832341</v>
      </c>
      <c r="F9" s="11" t="n">
        <v>1.42997042376078</v>
      </c>
      <c r="G9" s="12" t="n">
        <f aca="false">D9-1</f>
        <v>0.198846229950035</v>
      </c>
      <c r="H9" s="12" t="n">
        <f aca="false">E9-1</f>
        <v>0.00507832832341393</v>
      </c>
      <c r="I9" s="12" t="n">
        <f aca="false">F9-1</f>
        <v>0.429970423760784</v>
      </c>
      <c r="J9" s="11" t="n">
        <v>0.0437668514664297</v>
      </c>
      <c r="K9" s="14" t="n">
        <v>222</v>
      </c>
      <c r="L9" s="14" t="n">
        <v>2874</v>
      </c>
    </row>
    <row r="10" customFormat="false" ht="15" hidden="false" customHeight="false" outlineLevel="0" collapsed="false">
      <c r="A10" s="5" t="s">
        <v>150</v>
      </c>
      <c r="B10" s="5" t="s">
        <v>28</v>
      </c>
      <c r="C10" s="5" t="s">
        <v>152</v>
      </c>
      <c r="D10" s="11" t="n">
        <v>1.3601177266075</v>
      </c>
      <c r="E10" s="11" t="n">
        <v>1.06714651715578</v>
      </c>
      <c r="F10" s="11" t="n">
        <v>1.73352037465528</v>
      </c>
      <c r="G10" s="12" t="n">
        <f aca="false">D10-1</f>
        <v>0.360117726607502</v>
      </c>
      <c r="H10" s="12" t="n">
        <f aca="false">E10-1</f>
        <v>0.067146517155775</v>
      </c>
      <c r="I10" s="12" t="n">
        <f aca="false">F10-1</f>
        <v>0.733520374655282</v>
      </c>
      <c r="J10" s="11" t="n">
        <v>0.0129519987994382</v>
      </c>
      <c r="K10" s="14" t="n">
        <v>295</v>
      </c>
      <c r="L10" s="14" t="n">
        <v>3813</v>
      </c>
    </row>
    <row r="11" customFormat="false" ht="15" hidden="false" customHeight="false" outlineLevel="0" collapsed="false">
      <c r="A11" s="5" t="s">
        <v>150</v>
      </c>
      <c r="B11" s="5" t="s">
        <v>29</v>
      </c>
      <c r="C11" s="5" t="s">
        <v>151</v>
      </c>
      <c r="D11" s="11" t="n">
        <v>1.26626169989912</v>
      </c>
      <c r="E11" s="11" t="n">
        <v>0.702987553709771</v>
      </c>
      <c r="F11" s="11" t="n">
        <v>2.28086355749819</v>
      </c>
      <c r="G11" s="12" t="n">
        <f aca="false">D11-1</f>
        <v>0.266261699899123</v>
      </c>
      <c r="H11" s="12" t="n">
        <f aca="false">E11-1</f>
        <v>-0.297012446290229</v>
      </c>
      <c r="I11" s="12" t="n">
        <f aca="false">F11-1</f>
        <v>1.28086355749819</v>
      </c>
      <c r="J11" s="11" t="n">
        <v>0.431722177671074</v>
      </c>
      <c r="K11" s="14" t="n">
        <v>217</v>
      </c>
      <c r="L11" s="14" t="n">
        <v>2809</v>
      </c>
    </row>
    <row r="12" customFormat="false" ht="15" hidden="false" customHeight="false" outlineLevel="0" collapsed="false">
      <c r="A12" s="5" t="s">
        <v>150</v>
      </c>
      <c r="B12" s="5" t="s">
        <v>29</v>
      </c>
      <c r="C12" s="5" t="s">
        <v>152</v>
      </c>
      <c r="D12" s="11" t="n">
        <v>1.33432782246977</v>
      </c>
      <c r="E12" s="11" t="n">
        <v>0.779902125882913</v>
      </c>
      <c r="F12" s="11" t="n">
        <v>2.28288996622663</v>
      </c>
      <c r="G12" s="12" t="n">
        <f aca="false">D12-1</f>
        <v>0.334327822469772</v>
      </c>
      <c r="H12" s="12" t="n">
        <f aca="false">E12-1</f>
        <v>-0.220097874117087</v>
      </c>
      <c r="I12" s="12" t="n">
        <f aca="false">F12-1</f>
        <v>1.28288996622663</v>
      </c>
      <c r="J12" s="11" t="n">
        <v>0.292475910418996</v>
      </c>
      <c r="K12" s="14" t="n">
        <v>287</v>
      </c>
      <c r="L12" s="14" t="n">
        <v>3709</v>
      </c>
    </row>
    <row r="13" customFormat="false" ht="15" hidden="false" customHeight="false" outlineLevel="0" collapsed="false">
      <c r="A13" s="5" t="s">
        <v>153</v>
      </c>
      <c r="B13" s="5" t="s">
        <v>123</v>
      </c>
      <c r="C13" s="5" t="s">
        <v>151</v>
      </c>
      <c r="D13" s="11" t="n">
        <v>1.0200036260476</v>
      </c>
      <c r="E13" s="11" t="n">
        <v>0.977339091796721</v>
      </c>
      <c r="F13" s="11" t="n">
        <v>1.06453062799073</v>
      </c>
      <c r="G13" s="12" t="n">
        <f aca="false">D13-1</f>
        <v>0.0200036260475991</v>
      </c>
      <c r="H13" s="12" t="n">
        <f aca="false">E13-1</f>
        <v>-0.0226609082032788</v>
      </c>
      <c r="I13" s="12" t="n">
        <f aca="false">F13-1</f>
        <v>0.064530627990727</v>
      </c>
      <c r="J13" s="11" t="n">
        <v>0.363590439106303</v>
      </c>
      <c r="K13" s="14" t="n">
        <v>222</v>
      </c>
      <c r="L13" s="14" t="n">
        <v>1774</v>
      </c>
    </row>
    <row r="14" customFormat="false" ht="15" hidden="false" customHeight="false" outlineLevel="0" collapsed="false">
      <c r="A14" s="5" t="s">
        <v>153</v>
      </c>
      <c r="B14" s="5" t="s">
        <v>123</v>
      </c>
      <c r="C14" s="5" t="s">
        <v>152</v>
      </c>
      <c r="D14" s="11" t="n">
        <v>1.01972205265385</v>
      </c>
      <c r="E14" s="11" t="n">
        <v>0.985158224644398</v>
      </c>
      <c r="F14" s="11" t="n">
        <v>1.05549853684053</v>
      </c>
      <c r="G14" s="12" t="n">
        <f aca="false">D14-1</f>
        <v>0.019722052653848</v>
      </c>
      <c r="H14" s="12" t="n">
        <f aca="false">E14-1</f>
        <v>-0.0148417753556021</v>
      </c>
      <c r="I14" s="12" t="n">
        <f aca="false">F14-1</f>
        <v>0.0554985368405321</v>
      </c>
      <c r="J14" s="11" t="n">
        <v>0.266964906753592</v>
      </c>
      <c r="K14" s="14" t="n">
        <v>295</v>
      </c>
      <c r="L14" s="14" t="n">
        <v>2355</v>
      </c>
    </row>
    <row r="15" customFormat="false" ht="15" hidden="false" customHeight="false" outlineLevel="0" collapsed="false">
      <c r="A15" s="5" t="s">
        <v>153</v>
      </c>
      <c r="B15" s="5" t="s">
        <v>27</v>
      </c>
      <c r="C15" s="5" t="s">
        <v>151</v>
      </c>
      <c r="D15" s="11" t="n">
        <v>1.02813885487238</v>
      </c>
      <c r="E15" s="11" t="n">
        <v>0.987005148925494</v>
      </c>
      <c r="F15" s="11" t="n">
        <v>1.07098681911545</v>
      </c>
      <c r="G15" s="12" t="n">
        <f aca="false">D15-1</f>
        <v>0.02813885487238</v>
      </c>
      <c r="H15" s="12" t="n">
        <f aca="false">E15-1</f>
        <v>-0.0129948510745064</v>
      </c>
      <c r="I15" s="12" t="n">
        <f aca="false">F15-1</f>
        <v>0.070986819115453</v>
      </c>
      <c r="J15" s="11" t="n">
        <v>0.182823536339469</v>
      </c>
      <c r="K15" s="14" t="n">
        <v>222</v>
      </c>
      <c r="L15" s="14" t="n">
        <v>1774</v>
      </c>
    </row>
    <row r="16" customFormat="false" ht="15" hidden="false" customHeight="false" outlineLevel="0" collapsed="false">
      <c r="A16" s="5" t="s">
        <v>153</v>
      </c>
      <c r="B16" s="5" t="s">
        <v>27</v>
      </c>
      <c r="C16" s="5" t="s">
        <v>152</v>
      </c>
      <c r="D16" s="11" t="n">
        <v>1.0365284963945</v>
      </c>
      <c r="E16" s="11" t="n">
        <v>1.00792033114773</v>
      </c>
      <c r="F16" s="11" t="n">
        <v>1.06594865748409</v>
      </c>
      <c r="G16" s="12" t="n">
        <f aca="false">D16-1</f>
        <v>0.0365284963944961</v>
      </c>
      <c r="H16" s="12" t="n">
        <f aca="false">E16-1</f>
        <v>0.00792033114772495</v>
      </c>
      <c r="I16" s="12" t="n">
        <f aca="false">F16-1</f>
        <v>0.065948657484088</v>
      </c>
      <c r="J16" s="11" t="n">
        <v>0.011988740623642</v>
      </c>
      <c r="K16" s="14" t="n">
        <v>295</v>
      </c>
      <c r="L16" s="14" t="n">
        <v>2355</v>
      </c>
    </row>
    <row r="17" customFormat="false" ht="15" hidden="false" customHeight="false" outlineLevel="0" collapsed="false">
      <c r="A17" s="5" t="s">
        <v>153</v>
      </c>
      <c r="B17" s="5" t="s">
        <v>28</v>
      </c>
      <c r="C17" s="5" t="s">
        <v>151</v>
      </c>
      <c r="D17" s="11" t="n">
        <v>1.02431302381696</v>
      </c>
      <c r="E17" s="11" t="n">
        <v>0.988435627573869</v>
      </c>
      <c r="F17" s="11" t="n">
        <v>1.06149266729322</v>
      </c>
      <c r="G17" s="12" t="n">
        <f aca="false">D17-1</f>
        <v>0.024313023816956</v>
      </c>
      <c r="H17" s="12" t="n">
        <f aca="false">E17-1</f>
        <v>-0.0115643724261306</v>
      </c>
      <c r="I17" s="12" t="n">
        <f aca="false">F17-1</f>
        <v>0.0614926672932199</v>
      </c>
      <c r="J17" s="11" t="n">
        <v>0.186645330312893</v>
      </c>
      <c r="K17" s="14" t="n">
        <v>222</v>
      </c>
      <c r="L17" s="14" t="n">
        <v>1774</v>
      </c>
    </row>
    <row r="18" customFormat="false" ht="15" hidden="false" customHeight="false" outlineLevel="0" collapsed="false">
      <c r="A18" s="5" t="s">
        <v>153</v>
      </c>
      <c r="B18" s="5" t="s">
        <v>28</v>
      </c>
      <c r="C18" s="5" t="s">
        <v>152</v>
      </c>
      <c r="D18" s="11" t="n">
        <v>1.01061564310923</v>
      </c>
      <c r="E18" s="11" t="n">
        <v>0.96837538111655</v>
      </c>
      <c r="F18" s="11" t="n">
        <v>1.05469841345973</v>
      </c>
      <c r="G18" s="12" t="n">
        <f aca="false">D18-1</f>
        <v>0.0106156431092319</v>
      </c>
      <c r="H18" s="12" t="n">
        <f aca="false">E18-1</f>
        <v>-0.0316246188834497</v>
      </c>
      <c r="I18" s="12" t="n">
        <f aca="false">F18-1</f>
        <v>0.0546984134597299</v>
      </c>
      <c r="J18" s="11" t="n">
        <v>0.627845143983812</v>
      </c>
      <c r="K18" s="14" t="n">
        <v>295</v>
      </c>
      <c r="L18" s="14" t="n">
        <v>2355</v>
      </c>
    </row>
    <row r="19" customFormat="false" ht="15" hidden="false" customHeight="false" outlineLevel="0" collapsed="false">
      <c r="A19" s="5" t="s">
        <v>153</v>
      </c>
      <c r="B19" s="5" t="s">
        <v>29</v>
      </c>
      <c r="C19" s="5" t="s">
        <v>151</v>
      </c>
      <c r="D19" s="11" t="n">
        <v>1.08138110679743</v>
      </c>
      <c r="E19" s="11" t="n">
        <v>1.03500722962007</v>
      </c>
      <c r="F19" s="11" t="n">
        <v>1.12983278248954</v>
      </c>
      <c r="G19" s="12" t="n">
        <f aca="false">D19-1</f>
        <v>0.0813811067974279</v>
      </c>
      <c r="H19" s="12" t="n">
        <f aca="false">E19-1</f>
        <v>0.035007229620071</v>
      </c>
      <c r="I19" s="12" t="n">
        <f aca="false">F19-1</f>
        <v>0.129832782489535</v>
      </c>
      <c r="J19" s="11" t="n">
        <v>0.0004675995099678</v>
      </c>
      <c r="K19" s="14" t="n">
        <v>212</v>
      </c>
      <c r="L19" s="14" t="n">
        <v>1694</v>
      </c>
    </row>
    <row r="20" customFormat="false" ht="15" hidden="false" customHeight="false" outlineLevel="0" collapsed="false">
      <c r="A20" s="5" t="s">
        <v>153</v>
      </c>
      <c r="B20" s="5" t="s">
        <v>29</v>
      </c>
      <c r="C20" s="5" t="s">
        <v>152</v>
      </c>
      <c r="D20" s="11" t="n">
        <v>1.06527116225701</v>
      </c>
      <c r="E20" s="11" t="n">
        <v>1.00859296177791</v>
      </c>
      <c r="F20" s="11" t="n">
        <v>1.12513441213788</v>
      </c>
      <c r="G20" s="12" t="n">
        <f aca="false">D20-1</f>
        <v>0.0652711622570059</v>
      </c>
      <c r="H20" s="12" t="n">
        <f aca="false">E20-1</f>
        <v>0.00859296177791191</v>
      </c>
      <c r="I20" s="12" t="n">
        <f aca="false">F20-1</f>
        <v>0.125134412137879</v>
      </c>
      <c r="J20" s="11" t="n">
        <v>0.0234063147510106</v>
      </c>
      <c r="K20" s="14" t="n">
        <v>282</v>
      </c>
      <c r="L20" s="14" t="n">
        <v>2251</v>
      </c>
    </row>
    <row r="22" customFormat="false" ht="15" hidden="false" customHeight="false" outlineLevel="0" collapsed="false">
      <c r="A22" s="19" t="s">
        <v>154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2026-10-08T17:54:21Z</dcterms:created>
  <dc:creator>openpyxl</dc:creator>
  <dc:description/>
  <dc:language>en-US</dc:language>
  <cp:lastModifiedBy/>
  <dcterms:modified xsi:type="dcterms:W3CDTF">2026-10-08T17:54:21Z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